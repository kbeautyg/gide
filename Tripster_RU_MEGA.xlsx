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б ВСЕ Рубрики" sheetId="1" state="visible" r:id="rId1"/>
    <sheet xmlns:r="http://schemas.openxmlformats.org/officeDocument/2006/relationships" name="Москва ВСЕ Рубрики" sheetId="2" state="visible" r:id="rId2"/>
    <sheet xmlns:r="http://schemas.openxmlformats.org/officeDocument/2006/relationships" name="Архитектура Tripster.RU" sheetId="3" state="visible" r:id="rId3"/>
    <sheet xmlns:r="http://schemas.openxmlformats.org/officeDocument/2006/relationships" name="СТАТИСТ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50" customWidth="1" min="4" max="4"/>
  </cols>
  <sheetData>
    <row r="1">
      <c r="A1" s="1" t="inlineStr">
        <is>
          <t>РУБРИКА</t>
        </is>
      </c>
      <c r="B1" s="1" t="inlineStr">
        <is>
          <t>КОЛ-ВО</t>
        </is>
      </c>
      <c r="C1" s="1" t="inlineStr">
        <is>
          <t>ID</t>
        </is>
      </c>
      <c r="D1" s="1" t="inlineStr">
        <is>
          <t>SLUG</t>
        </is>
      </c>
    </row>
    <row r="2">
      <c r="A2" s="2">
        <f>== СПЕЦИАЛЬНЫЕ ===</f>
        <v/>
      </c>
    </row>
    <row r="3">
      <c r="A3" s="3" t="inlineStr">
        <is>
          <t>Все</t>
        </is>
      </c>
      <c r="B3" s="4" t="inlineStr">
        <is>
          <t>1994</t>
        </is>
      </c>
      <c r="C3" s="5" t="inlineStr">
        <is>
          <t>-</t>
        </is>
      </c>
      <c r="D3" s="5" t="inlineStr">
        <is>
          <t>all</t>
        </is>
      </c>
    </row>
    <row r="4">
      <c r="A4" s="3" t="inlineStr">
        <is>
          <t>Со скидкой</t>
        </is>
      </c>
      <c r="B4" s="4" t="inlineStr">
        <is>
          <t>317</t>
        </is>
      </c>
      <c r="C4" s="5" t="inlineStr">
        <is>
          <t>special_offers</t>
        </is>
      </c>
      <c r="D4" s="5" t="inlineStr">
        <is>
          <t>special_offers</t>
        </is>
      </c>
    </row>
    <row r="5">
      <c r="A5" s="3" t="inlineStr">
        <is>
          <t>Необычные маршруты</t>
        </is>
      </c>
      <c r="B5" s="4" t="inlineStr">
        <is>
          <t>552</t>
        </is>
      </c>
      <c r="C5" s="5" t="inlineStr">
        <is>
          <t>173</t>
        </is>
      </c>
      <c r="D5" s="5" t="inlineStr">
        <is>
          <t>neobyichnyie-marshrutyi</t>
        </is>
      </c>
    </row>
    <row r="6">
      <c r="A6" s="3" t="inlineStr">
        <is>
          <t>Новые</t>
        </is>
      </c>
      <c r="B6" s="4" t="inlineStr">
        <is>
          <t>44</t>
        </is>
      </c>
      <c r="C6" s="5" t="inlineStr">
        <is>
          <t>37732</t>
        </is>
      </c>
      <c r="D6" s="5" t="inlineStr">
        <is>
          <t>novye</t>
        </is>
      </c>
    </row>
    <row r="7">
      <c r="A7" s="3" t="inlineStr">
        <is>
          <t>Лучшие</t>
        </is>
      </c>
      <c r="B7" s="4" t="inlineStr">
        <is>
          <t>1008</t>
        </is>
      </c>
      <c r="C7" s="5" t="inlineStr">
        <is>
          <t>28381</t>
        </is>
      </c>
      <c r="D7" s="5" t="inlineStr">
        <is>
          <t>top</t>
        </is>
      </c>
    </row>
    <row r="8">
      <c r="A8" s="3" t="inlineStr">
        <is>
          <t>Экскурсии 2025</t>
        </is>
      </c>
      <c r="B8" s="4" t="inlineStr">
        <is>
          <t>210</t>
        </is>
      </c>
      <c r="C8" s="5" t="inlineStr">
        <is>
          <t>144738</t>
        </is>
      </c>
      <c r="D8" s="5" t="inlineStr">
        <is>
          <t>ekskursii-2025</t>
        </is>
      </c>
    </row>
    <row r="9">
      <c r="A9" s="5" t="inlineStr"/>
    </row>
    <row r="10">
      <c r="A10" s="2">
        <f>== МУЗЕИ И КУЛЬТУРА ===</f>
        <v/>
      </c>
    </row>
    <row r="11">
      <c r="A11" s="3" t="inlineStr">
        <is>
          <t>Эрмитаж</t>
        </is>
      </c>
      <c r="B11" s="4" t="inlineStr">
        <is>
          <t>144</t>
        </is>
      </c>
      <c r="C11" s="5" t="inlineStr">
        <is>
          <t>8924</t>
        </is>
      </c>
      <c r="D11" s="5" t="inlineStr">
        <is>
          <t>ermitazh</t>
        </is>
      </c>
    </row>
    <row r="12">
      <c r="A12" s="3" t="inlineStr">
        <is>
          <t>Русский музей</t>
        </is>
      </c>
      <c r="B12" s="4" t="inlineStr">
        <is>
          <t>37</t>
        </is>
      </c>
      <c r="C12" s="5" t="inlineStr">
        <is>
          <t>20188</t>
        </is>
      </c>
      <c r="D12" s="5" t="inlineStr">
        <is>
          <t>russkij-muzej</t>
        </is>
      </c>
    </row>
    <row r="13">
      <c r="A13" s="3" t="inlineStr">
        <is>
          <t>Музеи и искусство</t>
        </is>
      </c>
      <c r="B13" s="4" t="inlineStr">
        <is>
          <t>356</t>
        </is>
      </c>
      <c r="C13" s="5" t="inlineStr">
        <is>
          <t>170</t>
        </is>
      </c>
      <c r="D13" s="5" t="inlineStr">
        <is>
          <t>muzei-i-iskusstvo</t>
        </is>
      </c>
    </row>
    <row r="14">
      <c r="A14" s="3" t="inlineStr">
        <is>
          <t>Билеты в музеи</t>
        </is>
      </c>
      <c r="B14" s="4" t="inlineStr">
        <is>
          <t>15</t>
        </is>
      </c>
      <c r="C14" s="5" t="inlineStr">
        <is>
          <t>16615</t>
        </is>
      </c>
      <c r="D14" s="5" t="inlineStr">
        <is>
          <t>bilety-v-muzei</t>
        </is>
      </c>
    </row>
    <row r="15">
      <c r="A15" s="3" t="inlineStr">
        <is>
          <t>Музей Фаберже</t>
        </is>
      </c>
      <c r="B15" s="4" t="inlineStr">
        <is>
          <t>~50</t>
        </is>
      </c>
      <c r="C15" s="5" t="inlineStr">
        <is>
          <t>20178</t>
        </is>
      </c>
      <c r="D15" s="5" t="inlineStr">
        <is>
          <t>muzej-faberzhe</t>
        </is>
      </c>
    </row>
    <row r="16">
      <c r="A16" s="3" t="inlineStr">
        <is>
          <t>Третьяковская галерея</t>
        </is>
      </c>
      <c r="B16" s="4" t="inlineStr">
        <is>
          <t>~30</t>
        </is>
      </c>
      <c r="C16" s="5" t="inlineStr">
        <is>
          <t>20759</t>
        </is>
      </c>
      <c r="D16" s="5" t="inlineStr">
        <is>
          <t>tretyakovskaya-galereya</t>
        </is>
      </c>
    </row>
    <row r="17">
      <c r="A17" s="3" t="inlineStr">
        <is>
          <t>Главный штаб</t>
        </is>
      </c>
      <c r="B17" s="4" t="inlineStr">
        <is>
          <t>~25</t>
        </is>
      </c>
      <c r="C17" s="5" t="inlineStr">
        <is>
          <t>61178</t>
        </is>
      </c>
      <c r="D17" s="5" t="inlineStr">
        <is>
          <t>glavnyj-shtab</t>
        </is>
      </c>
    </row>
    <row r="18">
      <c r="A18" s="3" t="inlineStr">
        <is>
          <t>Музей Эрарта</t>
        </is>
      </c>
      <c r="B18" s="4" t="inlineStr">
        <is>
          <t>~20</t>
        </is>
      </c>
      <c r="C18" s="5" t="inlineStr">
        <is>
          <t>60562</t>
        </is>
      </c>
      <c r="D18" s="5" t="inlineStr">
        <is>
          <t>muzej-erarta</t>
        </is>
      </c>
    </row>
    <row r="19">
      <c r="A19" s="5" t="inlineStr"/>
    </row>
    <row r="20">
      <c r="A20" s="2">
        <f>== ДВОРЦЫ И ОСОБНЯКИ ===</f>
        <v/>
      </c>
    </row>
    <row r="21">
      <c r="A21" s="3" t="inlineStr">
        <is>
          <t>Дворцы и особняки</t>
        </is>
      </c>
      <c r="B21" s="4" t="inlineStr">
        <is>
          <t>331</t>
        </is>
      </c>
      <c r="C21" s="5" t="inlineStr">
        <is>
          <t>9022</t>
        </is>
      </c>
      <c r="D21" s="5" t="inlineStr">
        <is>
          <t>dvorcy-i-osobnyaki</t>
        </is>
      </c>
    </row>
    <row r="22">
      <c r="A22" s="3" t="inlineStr">
        <is>
          <t>Дворцы и особняки изнутри</t>
        </is>
      </c>
      <c r="B22" s="4" t="inlineStr">
        <is>
          <t>89</t>
        </is>
      </c>
      <c r="C22" s="5" t="inlineStr">
        <is>
          <t>124684</t>
        </is>
      </c>
      <c r="D22" s="5" t="inlineStr">
        <is>
          <t>dvorcy-iznutri</t>
        </is>
      </c>
    </row>
    <row r="23">
      <c r="A23" s="3" t="inlineStr">
        <is>
          <t>Зимний дворец</t>
        </is>
      </c>
      <c r="B23" s="4" t="inlineStr">
        <is>
          <t>~70</t>
        </is>
      </c>
      <c r="C23" s="5" t="inlineStr">
        <is>
          <t>9012</t>
        </is>
      </c>
      <c r="D23" s="5" t="inlineStr">
        <is>
          <t>zimnij-dvorec</t>
        </is>
      </c>
    </row>
    <row r="24">
      <c r="A24" s="3" t="inlineStr">
        <is>
          <t>Екатерининский дворец</t>
        </is>
      </c>
      <c r="B24" s="4" t="inlineStr">
        <is>
          <t>~60</t>
        </is>
      </c>
      <c r="C24" s="5" t="inlineStr">
        <is>
          <t>8925</t>
        </is>
      </c>
      <c r="D24" s="5" t="inlineStr">
        <is>
          <t>ekaterininskij-dvorec</t>
        </is>
      </c>
    </row>
    <row r="25">
      <c r="A25" s="3" t="inlineStr">
        <is>
          <t>Большой дворец Петергоф</t>
        </is>
      </c>
      <c r="B25" s="4" t="inlineStr">
        <is>
          <t>~50</t>
        </is>
      </c>
      <c r="C25" s="5" t="inlineStr">
        <is>
          <t>95755</t>
        </is>
      </c>
      <c r="D25" s="5" t="inlineStr">
        <is>
          <t>bolshoj-dvorec-petergof</t>
        </is>
      </c>
    </row>
    <row r="26">
      <c r="A26" s="3" t="inlineStr">
        <is>
          <t>Юсуповский дворец</t>
        </is>
      </c>
      <c r="B26" s="4" t="inlineStr">
        <is>
          <t>~50</t>
        </is>
      </c>
      <c r="C26" s="5" t="inlineStr">
        <is>
          <t>20167</t>
        </is>
      </c>
      <c r="D26" s="5" t="inlineStr">
        <is>
          <t>yusupovskij-dvorec</t>
        </is>
      </c>
    </row>
    <row r="27">
      <c r="A27" s="3" t="inlineStr">
        <is>
          <t>Павловский дворец</t>
        </is>
      </c>
      <c r="B27" s="4" t="inlineStr">
        <is>
          <t>~35</t>
        </is>
      </c>
      <c r="C27" s="5" t="inlineStr">
        <is>
          <t>20192</t>
        </is>
      </c>
      <c r="D27" s="5" t="inlineStr">
        <is>
          <t>pavlovskij-dvorec</t>
        </is>
      </c>
    </row>
    <row r="28">
      <c r="A28" s="3" t="inlineStr">
        <is>
          <t>Михайловский замок</t>
        </is>
      </c>
      <c r="B28" s="4" t="inlineStr">
        <is>
          <t>~40</t>
        </is>
      </c>
      <c r="C28" s="5" t="inlineStr">
        <is>
          <t>8980</t>
        </is>
      </c>
      <c r="D28" s="5" t="inlineStr">
        <is>
          <t>mihajlovskij-zamok</t>
        </is>
      </c>
    </row>
    <row r="29">
      <c r="A29" s="3" t="inlineStr">
        <is>
          <t>Мраморный дворец</t>
        </is>
      </c>
      <c r="B29" s="4" t="inlineStr">
        <is>
          <t>~30</t>
        </is>
      </c>
      <c r="C29" s="5" t="inlineStr">
        <is>
          <t>20257</t>
        </is>
      </c>
      <c r="D29" s="5" t="inlineStr">
        <is>
          <t>mramornyj-dvorec</t>
        </is>
      </c>
    </row>
    <row r="30">
      <c r="A30" s="3" t="inlineStr">
        <is>
          <t>Шереметевский дворец</t>
        </is>
      </c>
      <c r="B30" s="4" t="inlineStr">
        <is>
          <t>~25</t>
        </is>
      </c>
      <c r="C30" s="5" t="inlineStr">
        <is>
          <t>20258</t>
        </is>
      </c>
      <c r="D30" s="5" t="inlineStr">
        <is>
          <t>sheremetevskij-dvorec</t>
        </is>
      </c>
    </row>
    <row r="31">
      <c r="A31" s="3" t="inlineStr">
        <is>
          <t>Аничков дворец</t>
        </is>
      </c>
      <c r="B31" s="4" t="inlineStr">
        <is>
          <t>~25</t>
        </is>
      </c>
      <c r="C31" s="5" t="inlineStr">
        <is>
          <t>20246</t>
        </is>
      </c>
      <c r="D31" s="5" t="inlineStr">
        <is>
          <t>anichkov-dvorec</t>
        </is>
      </c>
    </row>
    <row r="32">
      <c r="A32" s="3" t="inlineStr">
        <is>
          <t>Строгановский дворец</t>
        </is>
      </c>
      <c r="B32" s="4" t="inlineStr">
        <is>
          <t>~20</t>
        </is>
      </c>
      <c r="C32" s="5" t="inlineStr">
        <is>
          <t>20250</t>
        </is>
      </c>
      <c r="D32" s="5" t="inlineStr">
        <is>
          <t>stroganovskij-dvorec</t>
        </is>
      </c>
    </row>
    <row r="33">
      <c r="A33" s="3" t="inlineStr">
        <is>
          <t>Елагин дворец</t>
        </is>
      </c>
      <c r="B33" s="4" t="inlineStr">
        <is>
          <t>~20</t>
        </is>
      </c>
      <c r="C33" s="5" t="inlineStr">
        <is>
          <t>37141</t>
        </is>
      </c>
      <c r="D33" s="5" t="inlineStr">
        <is>
          <t>elagin-dvorec</t>
        </is>
      </c>
    </row>
    <row r="34">
      <c r="A34" s="3" t="inlineStr">
        <is>
          <t>Воронцовский дворец</t>
        </is>
      </c>
      <c r="B34" s="4" t="inlineStr">
        <is>
          <t>~20</t>
        </is>
      </c>
      <c r="C34" s="5" t="inlineStr">
        <is>
          <t>39374</t>
        </is>
      </c>
      <c r="D34" s="5" t="inlineStr">
        <is>
          <t>voroncovskij-dvorec</t>
        </is>
      </c>
    </row>
    <row r="35">
      <c r="A35" s="3" t="inlineStr">
        <is>
          <t>Кушелев-Безбородко</t>
        </is>
      </c>
      <c r="B35" s="4" t="inlineStr">
        <is>
          <t>~15</t>
        </is>
      </c>
      <c r="C35" s="5" t="inlineStr">
        <is>
          <t>39376</t>
        </is>
      </c>
      <c r="D35" s="5" t="inlineStr">
        <is>
          <t>osobnyak-rumyanceva</t>
        </is>
      </c>
    </row>
    <row r="36">
      <c r="A36" s="3" t="inlineStr">
        <is>
          <t>Особняк Матильды Кшесинской</t>
        </is>
      </c>
      <c r="B36" s="4" t="inlineStr">
        <is>
          <t>~15</t>
        </is>
      </c>
      <c r="C36" s="5" t="inlineStr">
        <is>
          <t>40001</t>
        </is>
      </c>
      <c r="D36" s="5" t="inlineStr">
        <is>
          <t>osobnyak-matildy-kshesinskoj</t>
        </is>
      </c>
    </row>
    <row r="37">
      <c r="A37" s="3" t="inlineStr">
        <is>
          <t>Особняк Кельха</t>
        </is>
      </c>
      <c r="B37" s="4" t="inlineStr">
        <is>
          <t>~15</t>
        </is>
      </c>
      <c r="C37" s="5" t="inlineStr">
        <is>
          <t>20780</t>
        </is>
      </c>
      <c r="D37" s="5" t="inlineStr">
        <is>
          <t>osobnyak-kelha</t>
        </is>
      </c>
    </row>
    <row r="38">
      <c r="A38" s="3" t="inlineStr">
        <is>
          <t>Дом Бенуа</t>
        </is>
      </c>
      <c r="B38" s="4" t="inlineStr">
        <is>
          <t>~15</t>
        </is>
      </c>
      <c r="C38" s="5" t="inlineStr">
        <is>
          <t>39802</t>
        </is>
      </c>
      <c r="D38" s="5" t="inlineStr">
        <is>
          <t>dom-benua</t>
        </is>
      </c>
    </row>
    <row r="39">
      <c r="A39" s="5" t="inlineStr"/>
    </row>
    <row r="40">
      <c r="A40" s="2">
        <f>== ХРАМЫ И СОБОРЫ ===</f>
        <v/>
      </c>
    </row>
    <row r="41">
      <c r="A41" s="3" t="inlineStr">
        <is>
          <t>Петропавловская крепость</t>
        </is>
      </c>
      <c r="B41" s="4" t="inlineStr">
        <is>
          <t>105</t>
        </is>
      </c>
      <c r="C41" s="5" t="inlineStr">
        <is>
          <t>8976</t>
        </is>
      </c>
      <c r="D41" s="5" t="inlineStr">
        <is>
          <t>petropavlovskaya-krepost</t>
        </is>
      </c>
    </row>
    <row r="42">
      <c r="A42" s="3" t="inlineStr">
        <is>
          <t>Петропавловский собор</t>
        </is>
      </c>
      <c r="B42" s="4" t="inlineStr">
        <is>
          <t>~40</t>
        </is>
      </c>
      <c r="C42" s="5" t="inlineStr">
        <is>
          <t>20576</t>
        </is>
      </c>
      <c r="D42" s="5" t="inlineStr">
        <is>
          <t>petropavlovskij-sobor</t>
        </is>
      </c>
    </row>
    <row r="43">
      <c r="A43" s="3" t="inlineStr">
        <is>
          <t>Исаакиевский собор</t>
        </is>
      </c>
      <c r="B43" s="4" t="inlineStr">
        <is>
          <t>~80</t>
        </is>
      </c>
      <c r="C43" s="5" t="inlineStr">
        <is>
          <t>8973</t>
        </is>
      </c>
      <c r="D43" s="5" t="inlineStr">
        <is>
          <t>isaakievskij-sobor</t>
        </is>
      </c>
    </row>
    <row r="44">
      <c r="A44" s="3" t="inlineStr">
        <is>
          <t>Спас на Крови</t>
        </is>
      </c>
      <c r="B44" s="4" t="inlineStr">
        <is>
          <t>~70</t>
        </is>
      </c>
      <c r="C44" s="5" t="inlineStr">
        <is>
          <t>20189</t>
        </is>
      </c>
      <c r="D44" s="5" t="inlineStr">
        <is>
          <t>spas-na-krovi</t>
        </is>
      </c>
    </row>
    <row r="45">
      <c r="A45" s="3" t="inlineStr">
        <is>
          <t>Казанский собор</t>
        </is>
      </c>
      <c r="B45" s="4" t="inlineStr">
        <is>
          <t>~60</t>
        </is>
      </c>
      <c r="C45" s="5" t="inlineStr">
        <is>
          <t>9014</t>
        </is>
      </c>
      <c r="D45" s="5" t="inlineStr">
        <is>
          <t>kazanskij-sobor</t>
        </is>
      </c>
    </row>
    <row r="46">
      <c r="A46" s="3" t="inlineStr">
        <is>
          <t>Морской собор</t>
        </is>
      </c>
      <c r="B46" s="4" t="inlineStr">
        <is>
          <t>~30</t>
        </is>
      </c>
      <c r="C46" s="5" t="inlineStr">
        <is>
          <t>60601</t>
        </is>
      </c>
      <c r="D46" s="5" t="inlineStr">
        <is>
          <t>morskoj-sobor-svyatitelya-nikolaya-chudotvorca</t>
        </is>
      </c>
    </row>
    <row r="47">
      <c r="A47" s="3" t="inlineStr">
        <is>
          <t>Никольский морской собор</t>
        </is>
      </c>
      <c r="B47" s="4" t="inlineStr">
        <is>
          <t>~25</t>
        </is>
      </c>
      <c r="C47" s="5" t="inlineStr">
        <is>
          <t>60563</t>
        </is>
      </c>
      <c r="D47" s="5" t="inlineStr">
        <is>
          <t>nikolskij-morskoj-sobor</t>
        </is>
      </c>
    </row>
    <row r="48">
      <c r="A48" s="3" t="inlineStr">
        <is>
          <t>Смольный собор</t>
        </is>
      </c>
      <c r="B48" s="4" t="inlineStr">
        <is>
          <t>~30</t>
        </is>
      </c>
      <c r="C48" s="5" t="inlineStr">
        <is>
          <t>20169</t>
        </is>
      </c>
      <c r="D48" s="5" t="inlineStr">
        <is>
          <t>smolnyj-sobor</t>
        </is>
      </c>
    </row>
    <row r="49">
      <c r="A49" s="3" t="inlineStr">
        <is>
          <t>Александро-Невская лавра</t>
        </is>
      </c>
      <c r="B49" s="4" t="inlineStr">
        <is>
          <t>~40</t>
        </is>
      </c>
      <c r="C49" s="5" t="inlineStr">
        <is>
          <t>8979</t>
        </is>
      </c>
      <c r="D49" s="5" t="inlineStr">
        <is>
          <t>aleksandro-nevskaya-lavra</t>
        </is>
      </c>
    </row>
    <row r="50">
      <c r="A50" s="3" t="inlineStr">
        <is>
          <t>Петрикирхе</t>
        </is>
      </c>
      <c r="B50" s="4" t="inlineStr">
        <is>
          <t>~15</t>
        </is>
      </c>
      <c r="C50" s="5" t="inlineStr">
        <is>
          <t>39796</t>
        </is>
      </c>
      <c r="D50" s="5" t="inlineStr">
        <is>
          <t>petrikirhe</t>
        </is>
      </c>
    </row>
    <row r="51">
      <c r="A51" s="3" t="inlineStr">
        <is>
          <t>Хоральная синагога</t>
        </is>
      </c>
      <c r="B51" s="4" t="inlineStr">
        <is>
          <t>~15</t>
        </is>
      </c>
      <c r="C51" s="5" t="inlineStr">
        <is>
          <t>38835</t>
        </is>
      </c>
      <c r="D51" s="5" t="inlineStr">
        <is>
          <t>horalnaya-sinagoga</t>
        </is>
      </c>
    </row>
    <row r="52">
      <c r="A52" s="5" t="inlineStr"/>
    </row>
    <row r="53">
      <c r="A53" s="2">
        <f>== ПРИГОРОДЫ ===</f>
        <v/>
      </c>
    </row>
    <row r="54">
      <c r="A54" s="3" t="inlineStr">
        <is>
          <t>Царское Село</t>
        </is>
      </c>
      <c r="B54" s="4" t="inlineStr">
        <is>
          <t>78</t>
        </is>
      </c>
      <c r="C54" s="5" t="inlineStr">
        <is>
          <t>7343</t>
        </is>
      </c>
      <c r="D54" s="5" t="inlineStr">
        <is>
          <t>carskoe-selo</t>
        </is>
      </c>
    </row>
    <row r="55">
      <c r="A55" s="3" t="inlineStr">
        <is>
          <t>Петергоф</t>
        </is>
      </c>
      <c r="B55" s="4" t="inlineStr">
        <is>
          <t>66</t>
        </is>
      </c>
      <c r="C55" s="5" t="inlineStr">
        <is>
          <t>4771</t>
        </is>
      </c>
      <c r="D55" s="5" t="inlineStr">
        <is>
          <t>ekskursii-v-petergof</t>
        </is>
      </c>
    </row>
    <row r="56">
      <c r="A56" s="3" t="inlineStr">
        <is>
          <t>Кронштадт</t>
        </is>
      </c>
      <c r="B56" s="4" t="inlineStr">
        <is>
          <t>62</t>
        </is>
      </c>
      <c r="C56" s="5" t="inlineStr">
        <is>
          <t>4714</t>
        </is>
      </c>
      <c r="D56" s="5" t="inlineStr">
        <is>
          <t>kronshtadt</t>
        </is>
      </c>
    </row>
    <row r="57">
      <c r="A57" s="3" t="inlineStr">
        <is>
          <t>Однодневные (в другие города)</t>
        </is>
      </c>
      <c r="B57" s="4" t="inlineStr">
        <is>
          <t>242</t>
        </is>
      </c>
      <c r="C57" s="5" t="inlineStr">
        <is>
          <t>3712</t>
        </is>
      </c>
      <c r="D57" s="5" t="inlineStr">
        <is>
          <t>v-drugoj-gorod</t>
        </is>
      </c>
    </row>
    <row r="58">
      <c r="A58" s="3" t="inlineStr">
        <is>
          <t>Рускеала</t>
        </is>
      </c>
      <c r="B58" s="4" t="inlineStr">
        <is>
          <t>~40</t>
        </is>
      </c>
      <c r="C58" s="5" t="inlineStr">
        <is>
          <t>20244</t>
        </is>
      </c>
      <c r="D58" s="5" t="inlineStr">
        <is>
          <t>ruskeala</t>
        </is>
      </c>
    </row>
    <row r="59">
      <c r="A59" s="3" t="inlineStr">
        <is>
          <t>Кижи</t>
        </is>
      </c>
      <c r="B59" s="4" t="inlineStr">
        <is>
          <t>~20</t>
        </is>
      </c>
      <c r="C59" s="5" t="inlineStr">
        <is>
          <t>37137</t>
        </is>
      </c>
      <c r="D59" s="5" t="inlineStr">
        <is>
          <t>kizhi</t>
        </is>
      </c>
    </row>
    <row r="60">
      <c r="A60" s="3" t="inlineStr">
        <is>
          <t>Ладожское озеро</t>
        </is>
      </c>
      <c r="B60" s="4" t="inlineStr">
        <is>
          <t>~25</t>
        </is>
      </c>
      <c r="C60" s="5" t="inlineStr">
        <is>
          <t>20248</t>
        </is>
      </c>
      <c r="D60" s="5" t="inlineStr">
        <is>
          <t>ladozhskoe-ozero</t>
        </is>
      </c>
    </row>
    <row r="61">
      <c r="A61" s="3" t="inlineStr">
        <is>
          <t>Соловки</t>
        </is>
      </c>
      <c r="B61" s="4" t="inlineStr">
        <is>
          <t>~15</t>
        </is>
      </c>
      <c r="C61" s="5" t="inlineStr">
        <is>
          <t>125463</t>
        </is>
      </c>
      <c r="D61" s="5" t="inlineStr">
        <is>
          <t>colovki</t>
        </is>
      </c>
    </row>
    <row r="62">
      <c r="A62" s="3" t="inlineStr">
        <is>
          <t>Ладожские шхеры</t>
        </is>
      </c>
      <c r="B62" s="4" t="inlineStr">
        <is>
          <t>~15</t>
        </is>
      </c>
      <c r="C62" s="5" t="inlineStr">
        <is>
          <t>20256</t>
        </is>
      </c>
      <c r="D62" s="5" t="inlineStr">
        <is>
          <t>ladozhskie-shhery</t>
        </is>
      </c>
    </row>
    <row r="63">
      <c r="A63" s="3" t="inlineStr">
        <is>
          <t>Тихвинский монастырь</t>
        </is>
      </c>
      <c r="B63" s="4" t="inlineStr">
        <is>
          <t>~15</t>
        </is>
      </c>
      <c r="C63" s="5" t="inlineStr">
        <is>
          <t>20247</t>
        </is>
      </c>
      <c r="D63" s="5" t="inlineStr">
        <is>
          <t>tihvinskij-monastyr</t>
        </is>
      </c>
    </row>
    <row r="64">
      <c r="A64" s="3" t="inlineStr">
        <is>
          <t>Свирский монастырь</t>
        </is>
      </c>
      <c r="B64" s="4" t="inlineStr">
        <is>
          <t>~15</t>
        </is>
      </c>
      <c r="C64" s="5" t="inlineStr">
        <is>
          <t>20187</t>
        </is>
      </c>
      <c r="D64" s="5" t="inlineStr">
        <is>
          <t>svirskij-monastyr</t>
        </is>
      </c>
    </row>
    <row r="65">
      <c r="A65" s="3" t="inlineStr">
        <is>
          <t>Форт Александр</t>
        </is>
      </c>
      <c r="B65" s="4" t="inlineStr">
        <is>
          <t>~15</t>
        </is>
      </c>
      <c r="C65" s="5" t="inlineStr">
        <is>
          <t>37138</t>
        </is>
      </c>
      <c r="D65" s="5" t="inlineStr">
        <is>
          <t>fort-aleksandr</t>
        </is>
      </c>
    </row>
    <row r="66">
      <c r="A66" s="3" t="inlineStr">
        <is>
          <t>Крепость Орешек</t>
        </is>
      </c>
      <c r="B66" s="4" t="inlineStr">
        <is>
          <t>~20</t>
        </is>
      </c>
      <c r="C66" s="5" t="inlineStr">
        <is>
          <t>8928</t>
        </is>
      </c>
      <c r="D66" s="5" t="inlineStr">
        <is>
          <t>krepost-oreshek</t>
        </is>
      </c>
    </row>
    <row r="67">
      <c r="A67" s="5" t="inlineStr"/>
    </row>
    <row r="68">
      <c r="A68" s="2">
        <f>== ПЛОЩАДИ И УЛИЦЫ ===</f>
        <v/>
      </c>
    </row>
    <row r="69">
      <c r="A69" s="3" t="inlineStr">
        <is>
          <t>Невский проспект</t>
        </is>
      </c>
      <c r="B69" s="4" t="inlineStr">
        <is>
          <t>~100</t>
        </is>
      </c>
      <c r="C69" s="5" t="inlineStr">
        <is>
          <t>8978</t>
        </is>
      </c>
      <c r="D69" s="5" t="inlineStr">
        <is>
          <t>nevskij-prospekt</t>
        </is>
      </c>
    </row>
    <row r="70">
      <c r="A70" s="3" t="inlineStr">
        <is>
          <t>Дворцовая площадь</t>
        </is>
      </c>
      <c r="B70" s="4" t="inlineStr">
        <is>
          <t>~80</t>
        </is>
      </c>
      <c r="C70" s="5" t="inlineStr">
        <is>
          <t>39799</t>
        </is>
      </c>
      <c r="D70" s="5" t="inlineStr">
        <is>
          <t>dvorcovaya-ploshad</t>
        </is>
      </c>
    </row>
    <row r="71">
      <c r="A71" s="3" t="inlineStr">
        <is>
          <t>Площадь Искусств</t>
        </is>
      </c>
      <c r="B71" s="4" t="inlineStr">
        <is>
          <t>~35</t>
        </is>
      </c>
      <c r="C71" s="5" t="inlineStr">
        <is>
          <t>140852</t>
        </is>
      </c>
      <c r="D71" s="5" t="inlineStr">
        <is>
          <t>ploshad-iskusstv</t>
        </is>
      </c>
    </row>
    <row r="72">
      <c r="A72" s="3" t="inlineStr">
        <is>
          <t>Канал Грибоедова</t>
        </is>
      </c>
      <c r="B72" s="4" t="inlineStr">
        <is>
          <t>~45</t>
        </is>
      </c>
      <c r="C72" s="5" t="inlineStr">
        <is>
          <t>37119</t>
        </is>
      </c>
      <c r="D72" s="5" t="inlineStr">
        <is>
          <t>kanal-griboedova</t>
        </is>
      </c>
    </row>
    <row r="73">
      <c r="A73" s="3" t="inlineStr">
        <is>
          <t>Варварка</t>
        </is>
      </c>
      <c r="B73" s="4" t="inlineStr">
        <is>
          <t>~30</t>
        </is>
      </c>
      <c r="C73" s="5" t="inlineStr">
        <is>
          <t>39865</t>
        </is>
      </c>
      <c r="D73" s="5" t="inlineStr">
        <is>
          <t>varvarka</t>
        </is>
      </c>
    </row>
    <row r="74">
      <c r="A74" s="3" t="inlineStr">
        <is>
          <t>Кузнецкий мост</t>
        </is>
      </c>
      <c r="B74" s="4" t="inlineStr">
        <is>
          <t>~25</t>
        </is>
      </c>
      <c r="C74" s="5" t="inlineStr">
        <is>
          <t>69436</t>
        </is>
      </c>
      <c r="D74" s="5" t="inlineStr">
        <is>
          <t>kuzneckij-most</t>
        </is>
      </c>
    </row>
    <row r="75">
      <c r="A75" s="5" t="inlineStr"/>
    </row>
    <row r="76">
      <c r="A76" s="2">
        <f>== ОСТРОВА И ПАРКИ ===</f>
        <v/>
      </c>
    </row>
    <row r="77">
      <c r="A77" s="3" t="inlineStr">
        <is>
          <t>Стрелка Васильевского острова</t>
        </is>
      </c>
      <c r="B77" s="4" t="inlineStr">
        <is>
          <t>~60</t>
        </is>
      </c>
      <c r="C77" s="5" t="inlineStr">
        <is>
          <t>60565</t>
        </is>
      </c>
      <c r="D77" s="5" t="inlineStr">
        <is>
          <t>strelka-vasilevskogo-ostrova</t>
        </is>
      </c>
    </row>
    <row r="78">
      <c r="A78" s="3" t="inlineStr">
        <is>
          <t>Васильевский остров</t>
        </is>
      </c>
      <c r="B78" s="4" t="inlineStr">
        <is>
          <t>~90</t>
        </is>
      </c>
      <c r="C78" s="5" t="inlineStr">
        <is>
          <t>8982</t>
        </is>
      </c>
      <c r="D78" s="5" t="inlineStr">
        <is>
          <t>vasilevskij-ostrov</t>
        </is>
      </c>
    </row>
    <row r="79">
      <c r="A79" s="3" t="inlineStr">
        <is>
          <t>Заячий остров</t>
        </is>
      </c>
      <c r="B79" s="4" t="inlineStr">
        <is>
          <t>~30</t>
        </is>
      </c>
      <c r="C79" s="5" t="inlineStr">
        <is>
          <t>20245</t>
        </is>
      </c>
      <c r="D79" s="5" t="inlineStr">
        <is>
          <t>zayachij-ostrov</t>
        </is>
      </c>
    </row>
    <row r="80">
      <c r="A80" s="3" t="inlineStr">
        <is>
          <t>Каменный остров</t>
        </is>
      </c>
      <c r="B80" s="4" t="inlineStr">
        <is>
          <t>~30</t>
        </is>
      </c>
      <c r="C80" s="5" t="inlineStr">
        <is>
          <t>37142</t>
        </is>
      </c>
      <c r="D80" s="5" t="inlineStr">
        <is>
          <t>kamennyj-ostrov</t>
        </is>
      </c>
    </row>
    <row r="81">
      <c r="A81" s="3" t="inlineStr">
        <is>
          <t>Крестовский остров</t>
        </is>
      </c>
      <c r="B81" s="4" t="inlineStr">
        <is>
          <t>~25</t>
        </is>
      </c>
      <c r="C81" s="5" t="inlineStr">
        <is>
          <t>60554</t>
        </is>
      </c>
      <c r="D81" s="5" t="inlineStr">
        <is>
          <t>krestovskij-ostrov</t>
        </is>
      </c>
    </row>
    <row r="82">
      <c r="A82" s="3" t="inlineStr">
        <is>
          <t>Елагин остров</t>
        </is>
      </c>
      <c r="B82" s="4" t="inlineStr">
        <is>
          <t>~20</t>
        </is>
      </c>
      <c r="C82" s="5" t="inlineStr">
        <is>
          <t>60553</t>
        </is>
      </c>
      <c r="D82" s="5" t="inlineStr">
        <is>
          <t>elagin-ostrov</t>
        </is>
      </c>
    </row>
    <row r="83">
      <c r="A83" s="3" t="inlineStr">
        <is>
          <t>Кановерский остров</t>
        </is>
      </c>
      <c r="B83" s="4" t="inlineStr">
        <is>
          <t>~15</t>
        </is>
      </c>
      <c r="C83" s="5" t="inlineStr">
        <is>
          <t>39803</t>
        </is>
      </c>
      <c r="D83" s="5" t="inlineStr">
        <is>
          <t>kanonerskij-ostrov</t>
        </is>
      </c>
    </row>
    <row r="84">
      <c r="A84" s="3" t="inlineStr">
        <is>
          <t>Летний сад</t>
        </is>
      </c>
      <c r="B84" s="4" t="inlineStr">
        <is>
          <t>~45</t>
        </is>
      </c>
      <c r="C84" s="5" t="inlineStr">
        <is>
          <t>8981</t>
        </is>
      </c>
      <c r="D84" s="5" t="inlineStr">
        <is>
          <t>letnij-sad</t>
        </is>
      </c>
    </row>
    <row r="85">
      <c r="A85" s="3" t="inlineStr">
        <is>
          <t>Екатерининский парк</t>
        </is>
      </c>
      <c r="B85" s="4" t="inlineStr">
        <is>
          <t>~50</t>
        </is>
      </c>
      <c r="C85" s="5" t="inlineStr">
        <is>
          <t>67080</t>
        </is>
      </c>
      <c r="D85" s="5" t="inlineStr">
        <is>
          <t>ekaterininskij-park</t>
        </is>
      </c>
    </row>
    <row r="86">
      <c r="A86" s="3" t="inlineStr">
        <is>
          <t>Парк Александрия</t>
        </is>
      </c>
      <c r="B86" s="4" t="inlineStr">
        <is>
          <t>~30</t>
        </is>
      </c>
      <c r="C86" s="5" t="inlineStr">
        <is>
          <t>95757</t>
        </is>
      </c>
      <c r="D86" s="5" t="inlineStr">
        <is>
          <t>park-aleksandriya</t>
        </is>
      </c>
    </row>
    <row r="87">
      <c r="A87" s="3" t="inlineStr">
        <is>
          <t>Марсово поле</t>
        </is>
      </c>
      <c r="B87" s="4" t="inlineStr">
        <is>
          <t>~30</t>
        </is>
      </c>
      <c r="C87" s="5" t="inlineStr">
        <is>
          <t>113530</t>
        </is>
      </c>
      <c r="D87" s="5" t="inlineStr">
        <is>
          <t>marsovo-pole</t>
        </is>
      </c>
    </row>
    <row r="88">
      <c r="A88" s="5" t="inlineStr"/>
    </row>
    <row r="89">
      <c r="A89" s="2">
        <f>== ПАМЯТНИКИ И СИМВОЛЫ ===</f>
        <v/>
      </c>
    </row>
    <row r="90">
      <c r="A90" s="3" t="inlineStr">
        <is>
          <t>Медный всадник</t>
        </is>
      </c>
      <c r="B90" s="4" t="inlineStr">
        <is>
          <t>~50</t>
        </is>
      </c>
      <c r="C90" s="5" t="inlineStr">
        <is>
          <t>20572</t>
        </is>
      </c>
      <c r="D90" s="5" t="inlineStr">
        <is>
          <t>mednyj-vsadnik</t>
        </is>
      </c>
    </row>
    <row r="91">
      <c r="A91" s="3" t="inlineStr">
        <is>
          <t>Адмиралтейство</t>
        </is>
      </c>
      <c r="B91" s="4" t="inlineStr">
        <is>
          <t>~30</t>
        </is>
      </c>
      <c r="C91" s="5" t="inlineStr">
        <is>
          <t>9016</t>
        </is>
      </c>
      <c r="D91" s="5" t="inlineStr">
        <is>
          <t>admiraltejstvo</t>
        </is>
      </c>
    </row>
    <row r="92">
      <c r="A92" s="3" t="inlineStr">
        <is>
          <t>Александровская колонна</t>
        </is>
      </c>
      <c r="B92" s="4" t="inlineStr">
        <is>
          <t>~30</t>
        </is>
      </c>
      <c r="C92" s="5" t="inlineStr">
        <is>
          <t>66128</t>
        </is>
      </c>
      <c r="D92" s="5" t="inlineStr">
        <is>
          <t>aleksandrovskaya-kolonna</t>
        </is>
      </c>
    </row>
    <row r="93">
      <c r="A93" s="3" t="inlineStr">
        <is>
          <t>Ростральные колонны</t>
        </is>
      </c>
      <c r="B93" s="4" t="inlineStr">
        <is>
          <t>~40</t>
        </is>
      </c>
      <c r="C93" s="5" t="inlineStr">
        <is>
          <t>66130</t>
        </is>
      </c>
      <c r="D93" s="5" t="inlineStr">
        <is>
          <t>rostralnye-kolonny</t>
        </is>
      </c>
    </row>
    <row r="94">
      <c r="A94" s="3" t="inlineStr">
        <is>
          <t>Атланты Эрмитажа</t>
        </is>
      </c>
      <c r="B94" s="4" t="inlineStr">
        <is>
          <t>~25</t>
        </is>
      </c>
      <c r="C94" s="5" t="inlineStr">
        <is>
          <t>66129</t>
        </is>
      </c>
      <c r="D94" s="5" t="inlineStr">
        <is>
          <t>atlanty-ermitazha</t>
        </is>
      </c>
    </row>
    <row r="95">
      <c r="A95" s="3" t="inlineStr">
        <is>
          <t>Чижик-Пыжик</t>
        </is>
      </c>
      <c r="B95" s="4" t="inlineStr">
        <is>
          <t>~20</t>
        </is>
      </c>
      <c r="C95" s="5" t="inlineStr">
        <is>
          <t>60566</t>
        </is>
      </c>
      <c r="D95" s="5" t="inlineStr">
        <is>
          <t>chizhik-pyzhik</t>
        </is>
      </c>
    </row>
    <row r="96">
      <c r="A96" s="3" t="inlineStr">
        <is>
          <t>Сфинксы</t>
        </is>
      </c>
      <c r="B96" s="4" t="inlineStr">
        <is>
          <t>~25</t>
        </is>
      </c>
      <c r="C96" s="5" t="inlineStr">
        <is>
          <t>130177</t>
        </is>
      </c>
      <c r="D96" s="5" t="inlineStr">
        <is>
          <t>sfinksy</t>
        </is>
      </c>
    </row>
    <row r="97">
      <c r="A97" s="3" t="inlineStr">
        <is>
          <t>Крейсер Аврора</t>
        </is>
      </c>
      <c r="B97" s="4" t="inlineStr">
        <is>
          <t>~30</t>
        </is>
      </c>
      <c r="C97" s="5" t="inlineStr">
        <is>
          <t>8926</t>
        </is>
      </c>
      <c r="D97" s="5" t="inlineStr">
        <is>
          <t>krejser-avrora</t>
        </is>
      </c>
    </row>
    <row r="98">
      <c r="A98" s="5" t="inlineStr"/>
    </row>
    <row r="99">
      <c r="A99" s="2">
        <f>== СПЕЦИАЛЬНЫЕ МЕСТА ===</f>
        <v/>
      </c>
    </row>
    <row r="100">
      <c r="A100" s="3" t="inlineStr">
        <is>
          <t>Дом Зингера</t>
        </is>
      </c>
      <c r="B100" s="4" t="inlineStr">
        <is>
          <t>~25</t>
        </is>
      </c>
      <c r="C100" s="5" t="inlineStr">
        <is>
          <t>20186</t>
        </is>
      </c>
      <c r="D100" s="5" t="inlineStr">
        <is>
          <t>dom-zingera</t>
        </is>
      </c>
    </row>
    <row r="101">
      <c r="A101" s="3" t="inlineStr">
        <is>
          <t>Янтарная комната</t>
        </is>
      </c>
      <c r="B101" s="4" t="inlineStr">
        <is>
          <t>~40</t>
        </is>
      </c>
      <c r="C101" s="5" t="inlineStr">
        <is>
          <t>20181</t>
        </is>
      </c>
      <c r="D101" s="5" t="inlineStr">
        <is>
          <t>yantarnaya-komnata</t>
        </is>
      </c>
    </row>
    <row r="102">
      <c r="A102" s="3" t="inlineStr">
        <is>
          <t>Домик Петра I</t>
        </is>
      </c>
      <c r="B102" s="4" t="inlineStr">
        <is>
          <t>~25</t>
        </is>
      </c>
      <c r="C102" s="5" t="inlineStr">
        <is>
          <t>60558</t>
        </is>
      </c>
      <c r="D102" s="5" t="inlineStr">
        <is>
          <t>domik-petra-i</t>
        </is>
      </c>
    </row>
    <row r="103">
      <c r="A103" s="3" t="inlineStr">
        <is>
          <t>Новая Голландия</t>
        </is>
      </c>
      <c r="B103" s="4" t="inlineStr">
        <is>
          <t>~35</t>
        </is>
      </c>
      <c r="C103" s="5" t="inlineStr">
        <is>
          <t>20261</t>
        </is>
      </c>
      <c r="D103" s="5" t="inlineStr">
        <is>
          <t>nova-gollandiya</t>
        </is>
      </c>
    </row>
    <row r="104">
      <c r="A104" s="3" t="inlineStr">
        <is>
          <t>Севкабель Порт</t>
        </is>
      </c>
      <c r="B104" s="4" t="inlineStr">
        <is>
          <t>~25</t>
        </is>
      </c>
      <c r="C104" s="5" t="inlineStr">
        <is>
          <t>39801</t>
        </is>
      </c>
      <c r="D104" s="5" t="inlineStr">
        <is>
          <t>sevkabel-port</t>
        </is>
      </c>
    </row>
    <row r="105">
      <c r="A105" s="3" t="inlineStr">
        <is>
          <t>Лахта Центр</t>
        </is>
      </c>
      <c r="B105" s="4" t="inlineStr">
        <is>
          <t>~20</t>
        </is>
      </c>
      <c r="C105" s="5" t="inlineStr">
        <is>
          <t>20175</t>
        </is>
      </c>
      <c r="D105" s="5" t="inlineStr">
        <is>
          <t>lahta-centr</t>
        </is>
      </c>
    </row>
    <row r="106">
      <c r="A106" s="3" t="inlineStr">
        <is>
          <t>Витебский вокзал</t>
        </is>
      </c>
      <c r="B106" s="4" t="inlineStr">
        <is>
          <t>~20</t>
        </is>
      </c>
      <c r="C106" s="5" t="inlineStr">
        <is>
          <t>37145</t>
        </is>
      </c>
      <c r="D106" s="5" t="inlineStr">
        <is>
          <t>vitebskij-vokzal</t>
        </is>
      </c>
    </row>
    <row r="107">
      <c r="A107" s="3" t="inlineStr">
        <is>
          <t>Дом Елисеевых</t>
        </is>
      </c>
      <c r="B107" s="4" t="inlineStr">
        <is>
          <t>~20</t>
        </is>
      </c>
      <c r="C107" s="5" t="inlineStr">
        <is>
          <t>60589</t>
        </is>
      </c>
      <c r="D107" s="5" t="inlineStr">
        <is>
          <t>dom-kupcov-eliseevyh</t>
        </is>
      </c>
    </row>
    <row r="108">
      <c r="A108" s="3" t="inlineStr">
        <is>
          <t>Смоленское кладбище</t>
        </is>
      </c>
      <c r="B108" s="4" t="inlineStr">
        <is>
          <t>~15</t>
        </is>
      </c>
      <c r="C108" s="5" t="inlineStr">
        <is>
          <t>38108</t>
        </is>
      </c>
      <c r="D108" s="5" t="inlineStr">
        <is>
          <t>smolenskoe-kladbishe</t>
        </is>
      </c>
    </row>
    <row r="109">
      <c r="A109" s="3" t="inlineStr">
        <is>
          <t>Царскосельский лицей</t>
        </is>
      </c>
      <c r="B109" s="4" t="inlineStr">
        <is>
          <t>~30</t>
        </is>
      </c>
      <c r="C109" s="5" t="inlineStr">
        <is>
          <t>41441</t>
        </is>
      </c>
      <c r="D109" s="5" t="inlineStr">
        <is>
          <t>carskoselskij-licej-pushkina</t>
        </is>
      </c>
    </row>
    <row r="110">
      <c r="A110" s="5" t="inlineStr"/>
    </row>
    <row r="111">
      <c r="A111" s="2">
        <f>== ТЕАТРЫ И МУЗЫКА ===</f>
        <v/>
      </c>
    </row>
    <row r="112">
      <c r="A112" s="3" t="inlineStr">
        <is>
          <t>Александринский театр</t>
        </is>
      </c>
      <c r="B112" s="4" t="inlineStr">
        <is>
          <t>~25</t>
        </is>
      </c>
      <c r="C112" s="5" t="inlineStr">
        <is>
          <t>60564</t>
        </is>
      </c>
      <c r="D112" s="5" t="inlineStr">
        <is>
          <t>aleksandrinskij-teatr</t>
        </is>
      </c>
    </row>
    <row r="113">
      <c r="A113" s="3" t="inlineStr">
        <is>
          <t>Мариинский театр</t>
        </is>
      </c>
      <c r="B113" s="4" t="inlineStr">
        <is>
          <t>~35</t>
        </is>
      </c>
      <c r="C113" s="5" t="inlineStr">
        <is>
          <t>20173</t>
        </is>
      </c>
      <c r="D113" s="5" t="inlineStr">
        <is>
          <t>mariinskij-teatr</t>
        </is>
      </c>
    </row>
    <row r="114">
      <c r="A114" s="5" t="inlineStr"/>
    </row>
    <row r="115">
      <c r="A115" s="2">
        <f>== ПО ТИПУ ЭКСКУРСИИ ===</f>
        <v/>
      </c>
    </row>
    <row r="116">
      <c r="A116" s="3" t="inlineStr">
        <is>
          <t>Обзорные</t>
        </is>
      </c>
      <c r="B116" s="4" t="inlineStr">
        <is>
          <t>109</t>
        </is>
      </c>
      <c r="C116" s="5" t="inlineStr">
        <is>
          <t>167</t>
        </is>
      </c>
      <c r="D116" s="5" t="inlineStr">
        <is>
          <t>obzornyie</t>
        </is>
      </c>
    </row>
    <row r="117">
      <c r="A117" s="3" t="inlineStr">
        <is>
          <t>Городские экскурсии</t>
        </is>
      </c>
      <c r="B117" s="4" t="inlineStr">
        <is>
          <t>772</t>
        </is>
      </c>
      <c r="C117" s="5" t="inlineStr">
        <is>
          <t>145961</t>
        </is>
      </c>
      <c r="D117" s="5" t="inlineStr">
        <is>
          <t>gorodskie-ekskursii</t>
        </is>
      </c>
    </row>
    <row r="118">
      <c r="A118" s="3" t="inlineStr">
        <is>
          <t>Авторские</t>
        </is>
      </c>
      <c r="B118" s="4" t="inlineStr">
        <is>
          <t>386</t>
        </is>
      </c>
      <c r="C118" s="5" t="inlineStr">
        <is>
          <t>20092</t>
        </is>
      </c>
      <c r="D118" s="5" t="inlineStr">
        <is>
          <t>avtorskie</t>
        </is>
      </c>
    </row>
    <row r="119">
      <c r="A119" s="3" t="inlineStr">
        <is>
          <t>Для детей</t>
        </is>
      </c>
      <c r="B119" s="4" t="inlineStr">
        <is>
          <t>194</t>
        </is>
      </c>
      <c r="C119" s="5" t="inlineStr">
        <is>
          <t>177</t>
        </is>
      </c>
      <c r="D119" s="5" t="inlineStr">
        <is>
          <t>dlya-detej</t>
        </is>
      </c>
    </row>
    <row r="120">
      <c r="A120" s="3" t="inlineStr">
        <is>
          <t>Гастрономические</t>
        </is>
      </c>
      <c r="B120" s="4" t="inlineStr">
        <is>
          <t>53</t>
        </is>
      </c>
      <c r="C120" s="5" t="inlineStr">
        <is>
          <t>176</t>
        </is>
      </c>
      <c r="D120" s="5" t="inlineStr">
        <is>
          <t>gastronomicheskie</t>
        </is>
      </c>
    </row>
    <row r="121">
      <c r="A121" s="3" t="inlineStr">
        <is>
          <t>По барам</t>
        </is>
      </c>
      <c r="B121" s="4" t="inlineStr">
        <is>
          <t>25</t>
        </is>
      </c>
      <c r="C121" s="5" t="inlineStr">
        <is>
          <t>19619</t>
        </is>
      </c>
      <c r="D121" s="5" t="inlineStr">
        <is>
          <t>baryi-i-nochnaya-zhizn</t>
        </is>
      </c>
    </row>
    <row r="122">
      <c r="A122" s="3" t="inlineStr">
        <is>
          <t>Фотосессии</t>
        </is>
      </c>
      <c r="B122" s="4" t="inlineStr">
        <is>
          <t>71</t>
        </is>
      </c>
      <c r="C122" s="5" t="inlineStr">
        <is>
          <t>300</t>
        </is>
      </c>
      <c r="D122" s="5" t="inlineStr">
        <is>
          <t>fotosessii</t>
        </is>
      </c>
    </row>
    <row r="123">
      <c r="A123" s="3" t="inlineStr">
        <is>
          <t>Трансферы</t>
        </is>
      </c>
      <c r="B123" s="4" t="inlineStr">
        <is>
          <t>8</t>
        </is>
      </c>
      <c r="C123" s="5" t="inlineStr">
        <is>
          <t>8330</t>
        </is>
      </c>
      <c r="D123" s="5" t="inlineStr">
        <is>
          <t>transfer</t>
        </is>
      </c>
    </row>
    <row r="124">
      <c r="A124" s="3" t="inlineStr">
        <is>
          <t>Сбежать из города</t>
        </is>
      </c>
      <c r="B124" s="4" t="inlineStr">
        <is>
          <t>22</t>
        </is>
      </c>
      <c r="C124" s="5" t="inlineStr">
        <is>
          <t>129404</t>
        </is>
      </c>
      <c r="D124" s="5" t="inlineStr">
        <is>
          <t>sbezhat-iz-goroda</t>
        </is>
      </c>
    </row>
    <row r="125">
      <c r="A125" s="3" t="inlineStr">
        <is>
          <t>Дворы, парадные и коммуналки</t>
        </is>
      </c>
      <c r="B125" s="4" t="inlineStr">
        <is>
          <t>118</t>
        </is>
      </c>
      <c r="C125" s="5" t="inlineStr">
        <is>
          <t>8558</t>
        </is>
      </c>
      <c r="D125" s="5" t="inlineStr">
        <is>
          <t>po-dvoram-i-paradnym</t>
        </is>
      </c>
    </row>
    <row r="126">
      <c r="A126" s="3" t="inlineStr">
        <is>
          <t>Персоны Петербурга</t>
        </is>
      </c>
      <c r="B126" s="4" t="inlineStr">
        <is>
          <t>98</t>
        </is>
      </c>
      <c r="C126" s="5" t="inlineStr">
        <is>
          <t>124871</t>
        </is>
      </c>
      <c r="D126" s="5" t="inlineStr">
        <is>
          <t>persony-peterburga</t>
        </is>
      </c>
    </row>
    <row r="127">
      <c r="A127" s="3" t="inlineStr">
        <is>
          <t>Разводные мосты</t>
        </is>
      </c>
      <c r="B127" s="4" t="inlineStr">
        <is>
          <t>21</t>
        </is>
      </c>
      <c r="C127" s="5" t="inlineStr">
        <is>
          <t>7341</t>
        </is>
      </c>
      <c r="D127" s="5" t="inlineStr">
        <is>
          <t>razvodnye-mosty</t>
        </is>
      </c>
    </row>
    <row r="128">
      <c r="A128" s="5" t="inlineStr"/>
    </row>
    <row r="129">
      <c r="A129" s="2">
        <f>== СПЕЦКОЛЛЕКЦИИ ===</f>
        <v/>
      </c>
    </row>
    <row r="130">
      <c r="A130" s="3" t="inlineStr">
        <is>
          <t>Осень в Петербурге</t>
        </is>
      </c>
      <c r="B130" s="4" t="inlineStr">
        <is>
          <t>~150</t>
        </is>
      </c>
      <c r="C130" s="5" t="inlineStr">
        <is>
          <t>140924</t>
        </is>
      </c>
      <c r="D130" s="5" t="inlineStr">
        <is>
          <t>osen-v-peterburge</t>
        </is>
      </c>
    </row>
  </sheetData>
  <mergeCells count="12">
    <mergeCell ref="A40:D40"/>
    <mergeCell ref="A89:D89"/>
    <mergeCell ref="A53:D53"/>
    <mergeCell ref="A20:D20"/>
    <mergeCell ref="A99:D99"/>
    <mergeCell ref="A2:D2"/>
    <mergeCell ref="A111:D111"/>
    <mergeCell ref="A129:D129"/>
    <mergeCell ref="A10:D10"/>
    <mergeCell ref="A115:D115"/>
    <mergeCell ref="A76:D76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50" customWidth="1" min="4" max="4"/>
  </cols>
  <sheetData>
    <row r="1">
      <c r="A1" s="1" t="inlineStr">
        <is>
          <t>РУБРИКА</t>
        </is>
      </c>
      <c r="B1" s="1" t="inlineStr">
        <is>
          <t>КОЛ-ВО</t>
        </is>
      </c>
      <c r="C1" s="1" t="inlineStr">
        <is>
          <t>ID</t>
        </is>
      </c>
      <c r="D1" s="1" t="inlineStr">
        <is>
          <t>SLUG</t>
        </is>
      </c>
    </row>
    <row r="2">
      <c r="A2" s="2">
        <f>== СПЕЦИАЛЬНЫЕ ===</f>
        <v/>
      </c>
    </row>
    <row r="3">
      <c r="A3" s="3" t="inlineStr">
        <is>
          <t>Все</t>
        </is>
      </c>
      <c r="B3" s="4" t="inlineStr">
        <is>
          <t>1306</t>
        </is>
      </c>
      <c r="C3" s="5" t="inlineStr">
        <is>
          <t>-</t>
        </is>
      </c>
      <c r="D3" s="5" t="inlineStr">
        <is>
          <t>all</t>
        </is>
      </c>
    </row>
    <row r="4">
      <c r="A4" s="3" t="inlineStr">
        <is>
          <t>Со скидкой</t>
        </is>
      </c>
      <c r="B4" s="4" t="inlineStr">
        <is>
          <t>86</t>
        </is>
      </c>
      <c r="C4" s="5" t="inlineStr">
        <is>
          <t>special_offers</t>
        </is>
      </c>
      <c r="D4" s="5" t="inlineStr">
        <is>
          <t>special_offers</t>
        </is>
      </c>
    </row>
    <row r="5">
      <c r="A5" s="3" t="inlineStr">
        <is>
          <t>Необычные маршруты</t>
        </is>
      </c>
      <c r="B5" s="4" t="inlineStr">
        <is>
          <t>440</t>
        </is>
      </c>
      <c r="C5" s="5" t="inlineStr">
        <is>
          <t>152</t>
        </is>
      </c>
      <c r="D5" s="5" t="inlineStr">
        <is>
          <t>neobyichnyie-marshrutyi</t>
        </is>
      </c>
    </row>
    <row r="6">
      <c r="A6" s="3" t="inlineStr">
        <is>
          <t>Новые</t>
        </is>
      </c>
      <c r="B6" s="4" t="inlineStr">
        <is>
          <t>80</t>
        </is>
      </c>
      <c r="C6" s="5" t="inlineStr">
        <is>
          <t>37731</t>
        </is>
      </c>
      <c r="D6" s="5" t="inlineStr">
        <is>
          <t>novye</t>
        </is>
      </c>
    </row>
    <row r="7">
      <c r="A7" s="5" t="inlineStr"/>
    </row>
    <row r="8">
      <c r="A8" s="2">
        <f>== ГЛАВНЫЕ ОБЪЕКТЫ ===</f>
        <v/>
      </c>
    </row>
    <row r="9">
      <c r="A9" s="3" t="inlineStr">
        <is>
          <t>Красная площадь</t>
        </is>
      </c>
      <c r="B9" s="4" t="inlineStr">
        <is>
          <t>140</t>
        </is>
      </c>
      <c r="C9" s="5" t="inlineStr">
        <is>
          <t>9011</t>
        </is>
      </c>
      <c r="D9" s="5" t="inlineStr">
        <is>
          <t>krasnaya-ploshad</t>
        </is>
      </c>
    </row>
    <row r="10">
      <c r="A10" s="3" t="inlineStr">
        <is>
          <t>Московский Кремль</t>
        </is>
      </c>
      <c r="B10" s="4" t="inlineStr">
        <is>
          <t>85</t>
        </is>
      </c>
      <c r="C10" s="5" t="inlineStr">
        <is>
          <t>435</t>
        </is>
      </c>
      <c r="D10" s="5" t="inlineStr">
        <is>
          <t>kreml</t>
        </is>
      </c>
    </row>
    <row r="11">
      <c r="A11" s="3" t="inlineStr">
        <is>
          <t>Храм Христа Спасителя</t>
        </is>
      </c>
      <c r="B11" s="4" t="inlineStr">
        <is>
          <t>~60</t>
        </is>
      </c>
      <c r="C11" s="5" t="inlineStr">
        <is>
          <t>8945</t>
        </is>
      </c>
      <c r="D11" s="5" t="inlineStr">
        <is>
          <t>hram-hrista-spasitelya</t>
        </is>
      </c>
    </row>
    <row r="12">
      <c r="A12" s="3" t="inlineStr">
        <is>
          <t>ГУМ</t>
        </is>
      </c>
      <c r="B12" s="4" t="inlineStr">
        <is>
          <t>~40</t>
        </is>
      </c>
      <c r="C12" s="5" t="inlineStr">
        <is>
          <t>20232</t>
        </is>
      </c>
      <c r="D12" s="5" t="inlineStr">
        <is>
          <t>gum</t>
        </is>
      </c>
    </row>
    <row r="13">
      <c r="A13" s="3" t="inlineStr">
        <is>
          <t>Храм Василия Блаженного</t>
        </is>
      </c>
      <c r="B13" s="4" t="inlineStr">
        <is>
          <t>~70</t>
        </is>
      </c>
      <c r="C13" s="5" t="inlineStr">
        <is>
          <t>8948</t>
        </is>
      </c>
      <c r="D13" s="5" t="inlineStr">
        <is>
          <t>hram-vasiliya-blazhennogo</t>
        </is>
      </c>
    </row>
    <row r="14">
      <c r="A14" s="3" t="inlineStr">
        <is>
          <t>Третьяковская галерея</t>
        </is>
      </c>
      <c r="B14" s="4" t="inlineStr">
        <is>
          <t>26</t>
        </is>
      </c>
      <c r="C14" s="5" t="inlineStr">
        <is>
          <t>20759</t>
        </is>
      </c>
      <c r="D14" s="5" t="inlineStr">
        <is>
          <t>tretyakovskaya-galereya</t>
        </is>
      </c>
    </row>
    <row r="15">
      <c r="A15" s="3" t="inlineStr">
        <is>
          <t>Мавзолей Ленина</t>
        </is>
      </c>
      <c r="B15" s="4" t="inlineStr">
        <is>
          <t>~35</t>
        </is>
      </c>
      <c r="C15" s="5" t="inlineStr">
        <is>
          <t>20664</t>
        </is>
      </c>
      <c r="D15" s="5" t="inlineStr">
        <is>
          <t>mavzolej-lenina</t>
        </is>
      </c>
    </row>
    <row r="16">
      <c r="A16" s="3" t="inlineStr">
        <is>
          <t>Спасская башня</t>
        </is>
      </c>
      <c r="B16" s="4" t="inlineStr">
        <is>
          <t>~30</t>
        </is>
      </c>
      <c r="C16" s="5" t="inlineStr">
        <is>
          <t>20663</t>
        </is>
      </c>
      <c r="D16" s="5" t="inlineStr">
        <is>
          <t>spasskaya-bashnya</t>
        </is>
      </c>
    </row>
    <row r="17">
      <c r="A17" s="3" t="inlineStr">
        <is>
          <t>Успенский собор</t>
        </is>
      </c>
      <c r="B17" s="4" t="inlineStr">
        <is>
          <t>~25</t>
        </is>
      </c>
      <c r="C17" s="5" t="inlineStr">
        <is>
          <t>20725</t>
        </is>
      </c>
      <c r="D17" s="5" t="inlineStr">
        <is>
          <t>uspenskij-sobor</t>
        </is>
      </c>
    </row>
    <row r="18">
      <c r="A18" s="3" t="inlineStr">
        <is>
          <t>Казанский собор</t>
        </is>
      </c>
      <c r="B18" s="4" t="inlineStr">
        <is>
          <t>~25</t>
        </is>
      </c>
      <c r="C18" s="5" t="inlineStr">
        <is>
          <t>20758</t>
        </is>
      </c>
      <c r="D18" s="5" t="inlineStr">
        <is>
          <t>kazanskij-sobor</t>
        </is>
      </c>
    </row>
    <row r="19">
      <c r="A19" s="3" t="inlineStr">
        <is>
          <t>Исторический музей</t>
        </is>
      </c>
      <c r="B19" s="4" t="inlineStr">
        <is>
          <t>~30</t>
        </is>
      </c>
      <c r="C19" s="5" t="inlineStr">
        <is>
          <t>20772</t>
        </is>
      </c>
      <c r="D19" s="5" t="inlineStr">
        <is>
          <t>istoricheskij-muzej</t>
        </is>
      </c>
    </row>
    <row r="20">
      <c r="A20" s="3" t="inlineStr">
        <is>
          <t>Пушкинский музей</t>
        </is>
      </c>
      <c r="B20" s="4" t="inlineStr">
        <is>
          <t>~30</t>
        </is>
      </c>
      <c r="C20" s="5" t="inlineStr">
        <is>
          <t>20767</t>
        </is>
      </c>
      <c r="D20" s="5" t="inlineStr">
        <is>
          <t>pushkinskiy-muzej</t>
        </is>
      </c>
    </row>
    <row r="21">
      <c r="A21" s="3" t="inlineStr">
        <is>
          <t>Новая Третьяковка</t>
        </is>
      </c>
      <c r="B21" s="4" t="inlineStr">
        <is>
          <t>~25</t>
        </is>
      </c>
      <c r="C21" s="5" t="inlineStr">
        <is>
          <t>41422</t>
        </is>
      </c>
      <c r="D21" s="5" t="inlineStr">
        <is>
          <t>novaya-tretyakovskaya-galereya</t>
        </is>
      </c>
    </row>
    <row r="22">
      <c r="A22" s="3" t="inlineStr">
        <is>
          <t>Политехнический музей</t>
        </is>
      </c>
      <c r="B22" s="4" t="inlineStr">
        <is>
          <t>~20</t>
        </is>
      </c>
      <c r="C22" s="5" t="inlineStr">
        <is>
          <t>95713</t>
        </is>
      </c>
      <c r="D22" s="5" t="inlineStr">
        <is>
          <t>politehnicheskij-muzej</t>
        </is>
      </c>
    </row>
    <row r="23">
      <c r="A23" s="3" t="inlineStr">
        <is>
          <t>Большой театр</t>
        </is>
      </c>
      <c r="B23" s="4" t="inlineStr">
        <is>
          <t>11</t>
        </is>
      </c>
      <c r="C23" s="5" t="inlineStr">
        <is>
          <t>8946</t>
        </is>
      </c>
      <c r="D23" s="5" t="inlineStr">
        <is>
          <t>bolshoj-teatr</t>
        </is>
      </c>
    </row>
    <row r="24">
      <c r="A24" s="3" t="inlineStr">
        <is>
          <t>Мариинский дворец</t>
        </is>
      </c>
      <c r="B24" s="4" t="inlineStr">
        <is>
          <t>~20</t>
        </is>
      </c>
      <c r="C24" s="5" t="inlineStr">
        <is>
          <t>9013</t>
        </is>
      </c>
      <c r="D24" s="5" t="inlineStr">
        <is>
          <t>mariinskij-dvorec</t>
        </is>
      </c>
    </row>
    <row r="25">
      <c r="A25" s="5" t="inlineStr"/>
    </row>
    <row r="26">
      <c r="A26" s="2">
        <f>== СОВРЕМЕННЫЕ ДОСТОПРИМЕЧАТЕЛЬНОСТИ ===</f>
        <v/>
      </c>
    </row>
    <row r="27">
      <c r="A27" s="3" t="inlineStr">
        <is>
          <t>Москва-Сити</t>
        </is>
      </c>
      <c r="B27" s="4" t="inlineStr">
        <is>
          <t>27</t>
        </is>
      </c>
      <c r="C27" s="5" t="inlineStr">
        <is>
          <t>390</t>
        </is>
      </c>
      <c r="D27" s="5" t="inlineStr">
        <is>
          <t>moscow-city</t>
        </is>
      </c>
    </row>
    <row r="28">
      <c r="A28" s="3" t="inlineStr">
        <is>
          <t>ВДНХ</t>
        </is>
      </c>
      <c r="B28" s="4" t="inlineStr">
        <is>
          <t>45</t>
        </is>
      </c>
      <c r="C28" s="5" t="inlineStr">
        <is>
          <t>8951</t>
        </is>
      </c>
      <c r="D28" s="5" t="inlineStr">
        <is>
          <t>vdnh</t>
        </is>
      </c>
    </row>
    <row r="29">
      <c r="A29" s="3" t="inlineStr">
        <is>
          <t>Зарядье</t>
        </is>
      </c>
      <c r="B29" s="4" t="inlineStr">
        <is>
          <t>~65</t>
        </is>
      </c>
      <c r="C29" s="5" t="inlineStr">
        <is>
          <t>8559</t>
        </is>
      </c>
      <c r="D29" s="5" t="inlineStr">
        <is>
          <t>zaryadye</t>
        </is>
      </c>
    </row>
    <row r="30">
      <c r="A30" s="3" t="inlineStr">
        <is>
          <t>Красный Октябрь</t>
        </is>
      </c>
      <c r="B30" s="4" t="inlineStr">
        <is>
          <t>15</t>
        </is>
      </c>
      <c r="C30" s="5" t="inlineStr">
        <is>
          <t>20225</t>
        </is>
      </c>
      <c r="D30" s="5" t="inlineStr">
        <is>
          <t>krasnyj-oktyabr</t>
        </is>
      </c>
    </row>
    <row r="31">
      <c r="A31" s="3" t="inlineStr">
        <is>
          <t>Башня Федерация</t>
        </is>
      </c>
      <c r="B31" s="4" t="inlineStr">
        <is>
          <t>~20</t>
        </is>
      </c>
      <c r="C31" s="5" t="inlineStr">
        <is>
          <t>20770</t>
        </is>
      </c>
      <c r="D31" s="5" t="inlineStr">
        <is>
          <t>bashnya-federaciya</t>
        </is>
      </c>
    </row>
    <row r="32">
      <c r="A32" s="3" t="inlineStr">
        <is>
          <t>ГЭС-2</t>
        </is>
      </c>
      <c r="B32" s="4" t="inlineStr">
        <is>
          <t>~20</t>
        </is>
      </c>
      <c r="C32" s="5" t="inlineStr">
        <is>
          <t>36152</t>
        </is>
      </c>
      <c r="D32" s="5" t="inlineStr">
        <is>
          <t>ges-2</t>
        </is>
      </c>
    </row>
    <row r="33">
      <c r="A33" s="3" t="inlineStr">
        <is>
          <t>Останкинская башня</t>
        </is>
      </c>
      <c r="B33" s="4" t="inlineStr">
        <is>
          <t>~25</t>
        </is>
      </c>
      <c r="C33" s="5" t="inlineStr">
        <is>
          <t>8560</t>
        </is>
      </c>
      <c r="D33" s="5" t="inlineStr">
        <is>
          <t>ostankinskaya_bashnya</t>
        </is>
      </c>
    </row>
    <row r="34">
      <c r="A34" s="3" t="inlineStr">
        <is>
          <t>Лахта Центр</t>
        </is>
      </c>
      <c r="B34" s="4" t="inlineStr">
        <is>
          <t>~15</t>
        </is>
      </c>
      <c r="C34" s="5" t="inlineStr">
        <is>
          <t>20175</t>
        </is>
      </c>
      <c r="D34" s="5" t="inlineStr">
        <is>
          <t>lahta-centr</t>
        </is>
      </c>
    </row>
    <row r="35">
      <c r="A35" s="3" t="inlineStr">
        <is>
          <t>Зенит Арена</t>
        </is>
      </c>
      <c r="B35" s="4" t="inlineStr">
        <is>
          <t>~15</t>
        </is>
      </c>
      <c r="C35" s="5" t="inlineStr">
        <is>
          <t>20590</t>
        </is>
      </c>
      <c r="D35" s="5" t="inlineStr">
        <is>
          <t>zenit-arena</t>
        </is>
      </c>
    </row>
    <row r="36">
      <c r="A36" s="5" t="inlineStr"/>
    </row>
    <row r="37">
      <c r="A37" s="2">
        <f>== РАЙОНЫ И УЛИЦЫ ===</f>
        <v/>
      </c>
    </row>
    <row r="38">
      <c r="A38" s="3" t="inlineStr">
        <is>
          <t>Патриаршие пруды</t>
        </is>
      </c>
      <c r="B38" s="4" t="inlineStr">
        <is>
          <t>~45</t>
        </is>
      </c>
      <c r="C38" s="5" t="inlineStr">
        <is>
          <t>20660</t>
        </is>
      </c>
      <c r="D38" s="5" t="inlineStr">
        <is>
          <t>patriarshie-prudy</t>
        </is>
      </c>
    </row>
    <row r="39">
      <c r="A39" s="3" t="inlineStr">
        <is>
          <t>Старый Арбат</t>
        </is>
      </c>
      <c r="B39" s="4" t="inlineStr">
        <is>
          <t>~75</t>
        </is>
      </c>
      <c r="C39" s="5" t="inlineStr">
        <is>
          <t>8954</t>
        </is>
      </c>
      <c r="D39" s="5" t="inlineStr">
        <is>
          <t>staryj-arbat</t>
        </is>
      </c>
    </row>
    <row r="40">
      <c r="A40" s="3" t="inlineStr">
        <is>
          <t>Новый Арбат</t>
        </is>
      </c>
      <c r="B40" s="4" t="inlineStr">
        <is>
          <t>~30</t>
        </is>
      </c>
      <c r="C40" s="5" t="inlineStr">
        <is>
          <t>38837</t>
        </is>
      </c>
      <c r="D40" s="5" t="inlineStr">
        <is>
          <t>novyj-arbat</t>
        </is>
      </c>
    </row>
    <row r="41">
      <c r="A41" s="3" t="inlineStr">
        <is>
          <t>Манежная площадь</t>
        </is>
      </c>
      <c r="B41" s="4" t="inlineStr">
        <is>
          <t>~40</t>
        </is>
      </c>
      <c r="C41" s="5" t="inlineStr">
        <is>
          <t>38107</t>
        </is>
      </c>
      <c r="D41" s="5" t="inlineStr">
        <is>
          <t>manezhnaya-ploshad</t>
        </is>
      </c>
    </row>
    <row r="42">
      <c r="A42" s="3" t="inlineStr">
        <is>
          <t>Варварка</t>
        </is>
      </c>
      <c r="B42" s="4" t="inlineStr">
        <is>
          <t>~30</t>
        </is>
      </c>
      <c r="C42" s="5" t="inlineStr">
        <is>
          <t>39865</t>
        </is>
      </c>
      <c r="D42" s="5" t="inlineStr">
        <is>
          <t>varvarka</t>
        </is>
      </c>
    </row>
    <row r="43">
      <c r="A43" s="3" t="inlineStr">
        <is>
          <t>Москва-река</t>
        </is>
      </c>
      <c r="B43" s="4" t="inlineStr">
        <is>
          <t>~50</t>
        </is>
      </c>
      <c r="C43" s="5" t="inlineStr">
        <is>
          <t>8556</t>
        </is>
      </c>
      <c r="D43" s="5" t="inlineStr">
        <is>
          <t>Moskva_reka</t>
        </is>
      </c>
    </row>
    <row r="44">
      <c r="A44" s="3" t="inlineStr">
        <is>
          <t>Кузнецкий мост</t>
        </is>
      </c>
      <c r="B44" s="4" t="inlineStr">
        <is>
          <t>~25</t>
        </is>
      </c>
      <c r="C44" s="5" t="inlineStr">
        <is>
          <t>69436</t>
        </is>
      </c>
      <c r="D44" s="5" t="inlineStr">
        <is>
          <t>kuzneckij-most</t>
        </is>
      </c>
    </row>
    <row r="45">
      <c r="A45" s="3" t="inlineStr">
        <is>
          <t>Ивановская горка</t>
        </is>
      </c>
      <c r="B45" s="4" t="inlineStr">
        <is>
          <t>~25</t>
        </is>
      </c>
      <c r="C45" s="5" t="inlineStr">
        <is>
          <t>36812</t>
        </is>
      </c>
      <c r="D45" s="5" t="inlineStr">
        <is>
          <t>ivanovskaya-gorka</t>
        </is>
      </c>
    </row>
    <row r="46">
      <c r="A46" s="5" t="inlineStr"/>
    </row>
    <row r="47">
      <c r="A47" s="2">
        <f>== УСАДЬБЫ И ПАРКИ ===</f>
        <v/>
      </c>
    </row>
    <row r="48">
      <c r="A48" s="3" t="inlineStr">
        <is>
          <t>Царицыно</t>
        </is>
      </c>
      <c r="B48" s="4" t="inlineStr">
        <is>
          <t>~55</t>
        </is>
      </c>
      <c r="C48" s="5" t="inlineStr">
        <is>
          <t>8952</t>
        </is>
      </c>
      <c r="D48" s="5" t="inlineStr">
        <is>
          <t>caricyno</t>
        </is>
      </c>
    </row>
    <row r="49">
      <c r="A49" s="3" t="inlineStr">
        <is>
          <t>Коломенское</t>
        </is>
      </c>
      <c r="B49" s="4" t="inlineStr">
        <is>
          <t>~60</t>
        </is>
      </c>
      <c r="C49" s="5" t="inlineStr">
        <is>
          <t>20584</t>
        </is>
      </c>
      <c r="D49" s="5" t="inlineStr">
        <is>
          <t>kolomenskoe</t>
        </is>
      </c>
    </row>
    <row r="50">
      <c r="A50" s="3" t="inlineStr">
        <is>
          <t>Кол omenский дворец</t>
        </is>
      </c>
      <c r="B50" s="4" t="inlineStr">
        <is>
          <t>~30</t>
        </is>
      </c>
      <c r="C50" s="5" t="inlineStr">
        <is>
          <t>36829</t>
        </is>
      </c>
      <c r="D50" s="5" t="inlineStr">
        <is>
          <t>kolomenskij-dvorec</t>
        </is>
      </c>
    </row>
    <row r="51">
      <c r="A51" s="3" t="inlineStr">
        <is>
          <t>Усадьба Кусково</t>
        </is>
      </c>
      <c r="B51" s="4" t="inlineStr">
        <is>
          <t>9</t>
        </is>
      </c>
      <c r="C51" s="5" t="inlineStr">
        <is>
          <t>8953</t>
        </is>
      </c>
      <c r="D51" s="5" t="inlineStr">
        <is>
          <t>usadba-kuskovo</t>
        </is>
      </c>
    </row>
    <row r="52">
      <c r="A52" s="3" t="inlineStr">
        <is>
          <t>Воробьёвы горы</t>
        </is>
      </c>
      <c r="B52" s="4" t="inlineStr">
        <is>
          <t>~55</t>
        </is>
      </c>
      <c r="C52" s="5" t="inlineStr">
        <is>
          <t>8950</t>
        </is>
      </c>
      <c r="D52" s="5" t="inlineStr">
        <is>
          <t>vorobevy-gory</t>
        </is>
      </c>
    </row>
    <row r="53">
      <c r="A53" s="3" t="inlineStr">
        <is>
          <t>Смотровая площадка Воробьёвы горы</t>
        </is>
      </c>
      <c r="B53" s="4" t="inlineStr">
        <is>
          <t>~40</t>
        </is>
      </c>
      <c r="C53" s="5" t="inlineStr">
        <is>
          <t>20694</t>
        </is>
      </c>
      <c r="D53" s="5" t="inlineStr">
        <is>
          <t>smotrovaya-ploshadka-na-vorobyovyh-gorah</t>
        </is>
      </c>
    </row>
    <row r="54">
      <c r="A54" s="3" t="inlineStr">
        <is>
          <t>Парк Горького</t>
        </is>
      </c>
      <c r="B54" s="4" t="inlineStr">
        <is>
          <t>~40</t>
        </is>
      </c>
      <c r="C54" s="5" t="inlineStr">
        <is>
          <t>8956</t>
        </is>
      </c>
      <c r="D54" s="5" t="inlineStr">
        <is>
          <t>park-gorkogo</t>
        </is>
      </c>
    </row>
    <row r="55">
      <c r="A55" s="3" t="inlineStr">
        <is>
          <t>Нескучный сад</t>
        </is>
      </c>
      <c r="B55" s="4" t="inlineStr">
        <is>
          <t>~20</t>
        </is>
      </c>
      <c r="C55" s="5" t="inlineStr">
        <is>
          <t>41021</t>
        </is>
      </c>
      <c r="D55" s="5" t="inlineStr">
        <is>
          <t>neskuchnyj-sad</t>
        </is>
      </c>
    </row>
    <row r="56">
      <c r="A56" s="3" t="inlineStr">
        <is>
          <t>Музеон</t>
        </is>
      </c>
      <c r="B56" s="4" t="inlineStr">
        <is>
          <t>~25</t>
        </is>
      </c>
      <c r="C56" s="5" t="inlineStr">
        <is>
          <t>20730</t>
        </is>
      </c>
      <c r="D56" s="5" t="inlineStr">
        <is>
          <t>muzeon</t>
        </is>
      </c>
    </row>
    <row r="57">
      <c r="A57" s="3" t="inlineStr">
        <is>
          <t>Александровский сад</t>
        </is>
      </c>
      <c r="B57" s="4" t="inlineStr">
        <is>
          <t>~50</t>
        </is>
      </c>
      <c r="C57" s="5" t="inlineStr">
        <is>
          <t>20230</t>
        </is>
      </c>
      <c r="D57" s="5" t="inlineStr">
        <is>
          <t>aleksandrovskij-sad</t>
        </is>
      </c>
    </row>
    <row r="58">
      <c r="A58" s="5" t="inlineStr"/>
    </row>
    <row r="59">
      <c r="A59" s="2">
        <f>== МОНАСТЫРИ ===</f>
        <v/>
      </c>
    </row>
    <row r="60">
      <c r="A60" s="3" t="inlineStr">
        <is>
          <t>Новодевичий монастырь</t>
        </is>
      </c>
      <c r="B60" s="4" t="inlineStr">
        <is>
          <t>~50</t>
        </is>
      </c>
      <c r="C60" s="5" t="inlineStr">
        <is>
          <t>8944</t>
        </is>
      </c>
      <c r="D60" s="5" t="inlineStr">
        <is>
          <t>novodevichij-monastyr</t>
        </is>
      </c>
    </row>
    <row r="61">
      <c r="A61" s="3" t="inlineStr">
        <is>
          <t>Новодевичье кладбище</t>
        </is>
      </c>
      <c r="B61" s="4" t="inlineStr">
        <is>
          <t>12</t>
        </is>
      </c>
      <c r="C61" s="5" t="inlineStr">
        <is>
          <t>20723</t>
        </is>
      </c>
      <c r="D61" s="5" t="inlineStr">
        <is>
          <t>novodeviche-kladbishe</t>
        </is>
      </c>
    </row>
    <row r="62">
      <c r="A62" s="3" t="inlineStr">
        <is>
          <t>Донской монастырь</t>
        </is>
      </c>
      <c r="B62" s="4" t="inlineStr">
        <is>
          <t>~20</t>
        </is>
      </c>
      <c r="C62" s="5" t="inlineStr">
        <is>
          <t>20715</t>
        </is>
      </c>
      <c r="D62" s="5" t="inlineStr">
        <is>
          <t>donskoj-monastyr</t>
        </is>
      </c>
    </row>
    <row r="63">
      <c r="A63" s="3" t="inlineStr">
        <is>
          <t>Монастыри, церкви, храмы</t>
        </is>
      </c>
      <c r="B63" s="4" t="inlineStr">
        <is>
          <t>157</t>
        </is>
      </c>
      <c r="C63" s="5" t="inlineStr">
        <is>
          <t>35217</t>
        </is>
      </c>
      <c r="D63" s="5" t="inlineStr">
        <is>
          <t>monastyri-cerkvi-hramy</t>
        </is>
      </c>
    </row>
    <row r="64">
      <c r="A64" s="5" t="inlineStr"/>
    </row>
    <row r="65">
      <c r="A65" s="2">
        <f>== ОСОБНЯКИ И ДОМА ===</f>
        <v/>
      </c>
    </row>
    <row r="66">
      <c r="A66" s="3" t="inlineStr">
        <is>
          <t>Дом на набережной</t>
        </is>
      </c>
      <c r="B66" s="4" t="inlineStr">
        <is>
          <t>~30</t>
        </is>
      </c>
      <c r="C66" s="5" t="inlineStr">
        <is>
          <t>36153</t>
        </is>
      </c>
      <c r="D66" s="5" t="inlineStr">
        <is>
          <t>dom-na-naberezhnoj</t>
        </is>
      </c>
    </row>
    <row r="67">
      <c r="A67" s="3" t="inlineStr">
        <is>
          <t>Особняк Рябушинского</t>
        </is>
      </c>
      <c r="B67" s="4" t="inlineStr">
        <is>
          <t>~25</t>
        </is>
      </c>
      <c r="C67" s="5" t="inlineStr">
        <is>
          <t>20682</t>
        </is>
      </c>
      <c r="D67" s="5" t="inlineStr">
        <is>
          <t>osobnyak-ryabushinskogo</t>
        </is>
      </c>
    </row>
    <row r="68">
      <c r="A68" s="3" t="inlineStr">
        <is>
          <t>Дом Пашкова</t>
        </is>
      </c>
      <c r="B68" s="4" t="inlineStr">
        <is>
          <t>~20</t>
        </is>
      </c>
      <c r="C68" s="5" t="inlineStr">
        <is>
          <t>36807</t>
        </is>
      </c>
      <c r="D68" s="5" t="inlineStr">
        <is>
          <t>dom-pashkova</t>
        </is>
      </c>
    </row>
    <row r="69">
      <c r="A69" s="3" t="inlineStr">
        <is>
          <t>Дом Перцовой</t>
        </is>
      </c>
      <c r="B69" s="4" t="inlineStr">
        <is>
          <t>~15</t>
        </is>
      </c>
      <c r="C69" s="5" t="inlineStr">
        <is>
          <t>39838</t>
        </is>
      </c>
      <c r="D69" s="5" t="inlineStr">
        <is>
          <t>dom-percovoj</t>
        </is>
      </c>
    </row>
    <row r="70">
      <c r="A70" s="3" t="inlineStr">
        <is>
          <t>Толстовский дом</t>
        </is>
      </c>
      <c r="B70" s="4" t="inlineStr">
        <is>
          <t>~15</t>
        </is>
      </c>
      <c r="C70" s="5" t="inlineStr">
        <is>
          <t>20262</t>
        </is>
      </c>
      <c r="D70" s="5" t="inlineStr">
        <is>
          <t>tolstovskij-dom</t>
        </is>
      </c>
    </row>
    <row r="71">
      <c r="A71" s="3" t="inlineStr">
        <is>
          <t>Дом учёных</t>
        </is>
      </c>
      <c r="B71" s="4" t="inlineStr">
        <is>
          <t>~15</t>
        </is>
      </c>
      <c r="C71" s="5" t="inlineStr">
        <is>
          <t>39372</t>
        </is>
      </c>
      <c r="D71" s="5" t="inlineStr">
        <is>
          <t>dom-uchenyh</t>
        </is>
      </c>
    </row>
    <row r="72">
      <c r="A72" s="3" t="inlineStr">
        <is>
          <t>Особняк Арсения Морозова</t>
        </is>
      </c>
      <c r="B72" s="4" t="inlineStr">
        <is>
          <t>~15</t>
        </is>
      </c>
      <c r="C72" s="5" t="inlineStr">
        <is>
          <t>20676</t>
        </is>
      </c>
      <c r="D72" s="5" t="inlineStr">
        <is>
          <t>osobnyak-arseniya-morozova</t>
        </is>
      </c>
    </row>
    <row r="73">
      <c r="A73" s="3" t="inlineStr">
        <is>
          <t>Сандуновские бани</t>
        </is>
      </c>
      <c r="B73" s="4" t="inlineStr">
        <is>
          <t>~15</t>
        </is>
      </c>
      <c r="C73" s="5" t="inlineStr">
        <is>
          <t>39839</t>
        </is>
      </c>
      <c r="D73" s="5" t="inlineStr">
        <is>
          <t>sandunovskie-bani</t>
        </is>
      </c>
    </row>
    <row r="74">
      <c r="A74" s="3" t="inlineStr">
        <is>
          <t>Северный речной вокзал</t>
        </is>
      </c>
      <c r="B74" s="4" t="inlineStr">
        <is>
          <t>~15</t>
        </is>
      </c>
      <c r="C74" s="5" t="inlineStr">
        <is>
          <t>39379</t>
        </is>
      </c>
      <c r="D74" s="5" t="inlineStr">
        <is>
          <t>severnyj-rechnoj-vokzal</t>
        </is>
      </c>
    </row>
    <row r="75">
      <c r="A75" s="3" t="inlineStr">
        <is>
          <t>Гостиница Ленинградская</t>
        </is>
      </c>
      <c r="B75" s="4" t="inlineStr">
        <is>
          <t>~10</t>
        </is>
      </c>
      <c r="C75" s="5" t="inlineStr">
        <is>
          <t>36811</t>
        </is>
      </c>
      <c r="D75" s="5" t="inlineStr">
        <is>
          <t>gostinica-leningradskaya</t>
        </is>
      </c>
    </row>
    <row r="76">
      <c r="A76" s="3" t="inlineStr">
        <is>
          <t>Путевой дворец</t>
        </is>
      </c>
      <c r="B76" s="4" t="inlineStr">
        <is>
          <t>~10</t>
        </is>
      </c>
      <c r="C76" s="5" t="inlineStr">
        <is>
          <t>20681</t>
        </is>
      </c>
      <c r="D76" s="5" t="inlineStr">
        <is>
          <t>putevoj-dvorec</t>
        </is>
      </c>
    </row>
    <row r="77">
      <c r="A77" s="3" t="inlineStr">
        <is>
          <t>Гостиница Украина</t>
        </is>
      </c>
      <c r="B77" s="4" t="inlineStr">
        <is>
          <t>~10</t>
        </is>
      </c>
      <c r="C77" s="5" t="inlineStr">
        <is>
          <t>126086</t>
        </is>
      </c>
      <c r="D77" s="5" t="inlineStr">
        <is>
          <t>gostinica-ukraina</t>
        </is>
      </c>
    </row>
    <row r="78">
      <c r="A78" s="3" t="inlineStr">
        <is>
          <t>Метрополь</t>
        </is>
      </c>
      <c r="B78" s="4" t="inlineStr">
        <is>
          <t>~20</t>
        </is>
      </c>
      <c r="C78" s="5" t="inlineStr">
        <is>
          <t>20769</t>
        </is>
      </c>
      <c r="D78" s="5" t="inlineStr">
        <is>
          <t>metropol</t>
        </is>
      </c>
    </row>
    <row r="79">
      <c r="A79" s="3" t="inlineStr">
        <is>
          <t>ЦДУМ</t>
        </is>
      </c>
      <c r="B79" s="4" t="inlineStr">
        <is>
          <t>~15</t>
        </is>
      </c>
      <c r="C79" s="5" t="inlineStr">
        <is>
          <t>20731</t>
        </is>
      </c>
      <c r="D79" s="5" t="inlineStr">
        <is>
          <t>tsum</t>
        </is>
      </c>
    </row>
    <row r="80">
      <c r="A80" s="3" t="inlineStr">
        <is>
          <t>Библиотека имени Ленина</t>
        </is>
      </c>
      <c r="B80" s="4" t="inlineStr">
        <is>
          <t>~15</t>
        </is>
      </c>
      <c r="C80" s="5" t="inlineStr">
        <is>
          <t>20768</t>
        </is>
      </c>
      <c r="D80" s="5" t="inlineStr">
        <is>
          <t>biblioteka-imeni-lenina</t>
        </is>
      </c>
    </row>
    <row r="81">
      <c r="A81" s="5" t="inlineStr"/>
    </row>
    <row r="82">
      <c r="A82" s="2">
        <f>== СПЕЦИАЛЬНЫЕ ДОСТОПРИМЕЧАТЕЛЬНОСТИ ===</f>
        <v/>
      </c>
    </row>
    <row r="83">
      <c r="A83" s="3" t="inlineStr">
        <is>
          <t>Сталинские высотки</t>
        </is>
      </c>
      <c r="B83" s="4" t="inlineStr">
        <is>
          <t>20</t>
        </is>
      </c>
      <c r="C83" s="5" t="inlineStr">
        <is>
          <t>8947</t>
        </is>
      </c>
      <c r="D83" s="5" t="inlineStr">
        <is>
          <t>stalinskie-vysotki</t>
        </is>
      </c>
    </row>
    <row r="84">
      <c r="A84" s="3" t="inlineStr">
        <is>
          <t>Здание МГУ</t>
        </is>
      </c>
      <c r="B84" s="4" t="inlineStr">
        <is>
          <t>24</t>
        </is>
      </c>
      <c r="C84" s="5" t="inlineStr">
        <is>
          <t>20683</t>
        </is>
      </c>
      <c r="D84" s="5" t="inlineStr">
        <is>
          <t>zdanie-mgu</t>
        </is>
      </c>
    </row>
    <row r="85">
      <c r="A85" s="3" t="inlineStr">
        <is>
          <t>Поклонная гора</t>
        </is>
      </c>
      <c r="B85" s="4" t="inlineStr">
        <is>
          <t>~30</t>
        </is>
      </c>
      <c r="C85" s="5" t="inlineStr">
        <is>
          <t>8958</t>
        </is>
      </c>
      <c r="D85" s="5" t="inlineStr">
        <is>
          <t>poklonnaya-gora</t>
        </is>
      </c>
    </row>
    <row r="86">
      <c r="A86" s="3" t="inlineStr">
        <is>
          <t>Парк Победы</t>
        </is>
      </c>
      <c r="B86" s="4" t="inlineStr">
        <is>
          <t>~25</t>
        </is>
      </c>
      <c r="C86" s="5" t="inlineStr">
        <is>
          <t>20679</t>
        </is>
      </c>
      <c r="D86" s="5" t="inlineStr">
        <is>
          <t>park-pobedy</t>
        </is>
      </c>
    </row>
    <row r="87">
      <c r="A87" s="3" t="inlineStr">
        <is>
          <t>Музей Гуревича</t>
        </is>
      </c>
      <c r="B87" s="4" t="inlineStr">
        <is>
          <t>~10</t>
        </is>
      </c>
      <c r="C87" s="5" t="inlineStr">
        <is>
          <t>20954</t>
        </is>
      </c>
      <c r="D87" s="5" t="inlineStr">
        <is>
          <t>muzej-gurchenko</t>
        </is>
      </c>
    </row>
    <row r="88">
      <c r="A88" s="3" t="inlineStr">
        <is>
          <t>Океанариум</t>
        </is>
      </c>
      <c r="B88" s="4" t="inlineStr">
        <is>
          <t>~15</t>
        </is>
      </c>
      <c r="C88" s="5" t="inlineStr">
        <is>
          <t>126277</t>
        </is>
      </c>
      <c r="D88" s="5" t="inlineStr">
        <is>
          <t>okeanarium</t>
        </is>
      </c>
    </row>
    <row r="89">
      <c r="A89" s="3" t="inlineStr">
        <is>
          <t>Палаты Романовых</t>
        </is>
      </c>
      <c r="B89" s="4" t="inlineStr">
        <is>
          <t>~20</t>
        </is>
      </c>
      <c r="C89" s="5" t="inlineStr">
        <is>
          <t>8949</t>
        </is>
      </c>
      <c r="D89" s="5" t="inlineStr">
        <is>
          <t>palaty-romanovyh</t>
        </is>
      </c>
    </row>
    <row r="90">
      <c r="A90" s="3" t="inlineStr">
        <is>
          <t>Кремлёвский некрополь</t>
        </is>
      </c>
      <c r="B90" s="4" t="inlineStr">
        <is>
          <t>~20</t>
        </is>
      </c>
      <c r="C90" s="5" t="inlineStr">
        <is>
          <t>-</t>
        </is>
      </c>
      <c r="D90" s="5" t="inlineStr">
        <is>
          <t>-</t>
        </is>
      </c>
    </row>
    <row r="91">
      <c r="A91" s="3" t="inlineStr">
        <is>
          <t>Царь-пушка</t>
        </is>
      </c>
      <c r="B91" s="4" t="inlineStr">
        <is>
          <t>~15</t>
        </is>
      </c>
      <c r="C91" s="5" t="inlineStr">
        <is>
          <t>20724</t>
        </is>
      </c>
      <c r="D91" s="5" t="inlineStr">
        <is>
          <t>tsar-pushka</t>
        </is>
      </c>
    </row>
    <row r="92">
      <c r="A92" s="3" t="inlineStr">
        <is>
          <t>Печатный двор</t>
        </is>
      </c>
      <c r="B92" s="4" t="inlineStr">
        <is>
          <t>~10</t>
        </is>
      </c>
      <c r="C92" s="5" t="inlineStr">
        <is>
          <t>75499</t>
        </is>
      </c>
      <c r="D92" s="5" t="inlineStr">
        <is>
          <t>pechatnyj-dvor</t>
        </is>
      </c>
    </row>
    <row r="93">
      <c r="A93" s="3" t="inlineStr">
        <is>
          <t>Комендантский дом</t>
        </is>
      </c>
      <c r="B93" s="4" t="inlineStr">
        <is>
          <t>~10</t>
        </is>
      </c>
      <c r="C93" s="5" t="inlineStr">
        <is>
          <t>38098</t>
        </is>
      </c>
      <c r="D93" s="5" t="inlineStr">
        <is>
          <t>komendantskij-dom</t>
        </is>
      </c>
    </row>
    <row r="94">
      <c r="A94" s="3" t="inlineStr">
        <is>
          <t>Императорские дворцовые конюшни</t>
        </is>
      </c>
      <c r="B94" s="4" t="inlineStr">
        <is>
          <t>~10</t>
        </is>
      </c>
      <c r="C94" s="5" t="inlineStr">
        <is>
          <t>60599</t>
        </is>
      </c>
      <c r="D94" s="5" t="inlineStr">
        <is>
          <t>imperatorskie-dvorcovye-konyushni</t>
        </is>
      </c>
    </row>
    <row r="95">
      <c r="A95" s="3" t="inlineStr">
        <is>
          <t>Академия Штиглица</t>
        </is>
      </c>
      <c r="B95" s="4" t="inlineStr">
        <is>
          <t>~10</t>
        </is>
      </c>
      <c r="C95" s="5" t="inlineStr">
        <is>
          <t>37126</t>
        </is>
      </c>
      <c r="D95" s="5" t="inlineStr">
        <is>
          <t>akademii-shtiglica</t>
        </is>
      </c>
    </row>
    <row r="96">
      <c r="A96" s="3" t="inlineStr">
        <is>
          <t>Каменноостровский дворец</t>
        </is>
      </c>
      <c r="B96" s="4" t="inlineStr">
        <is>
          <t>~10</t>
        </is>
      </c>
      <c r="C96" s="5" t="inlineStr">
        <is>
          <t>41070</t>
        </is>
      </c>
      <c r="D96" s="5" t="inlineStr">
        <is>
          <t>kamennoostrovskij-dvorec</t>
        </is>
      </c>
    </row>
    <row r="97">
      <c r="A97" s="3" t="inlineStr">
        <is>
          <t>ЗСД (Западный скоростной диаметр)</t>
        </is>
      </c>
      <c r="B97" s="4" t="inlineStr">
        <is>
          <t>~10</t>
        </is>
      </c>
      <c r="C97" s="5" t="inlineStr">
        <is>
          <t>77958</t>
        </is>
      </c>
      <c r="D97" s="5" t="inlineStr">
        <is>
          <t>zapadnyj-skorostnoj-diametr</t>
        </is>
      </c>
    </row>
    <row r="98">
      <c r="A98" s="3" t="inlineStr">
        <is>
          <t>Кутицкое подворье</t>
        </is>
      </c>
      <c r="B98" s="4" t="inlineStr">
        <is>
          <t>~10</t>
        </is>
      </c>
      <c r="C98" s="5" t="inlineStr">
        <is>
          <t>20678</t>
        </is>
      </c>
      <c r="D98" s="5" t="inlineStr">
        <is>
          <t>krutickoe-podvore</t>
        </is>
      </c>
    </row>
    <row r="99">
      <c r="A99" s="3" t="inlineStr">
        <is>
          <t>Академия художеств</t>
        </is>
      </c>
      <c r="B99" s="4" t="inlineStr">
        <is>
          <t>~10</t>
        </is>
      </c>
      <c r="C99" s="5" t="inlineStr">
        <is>
          <t>39789</t>
        </is>
      </c>
      <c r="D99" s="5" t="inlineStr">
        <is>
          <t>academy-of-arts</t>
        </is>
      </c>
    </row>
    <row r="100">
      <c r="A100" s="3" t="inlineStr">
        <is>
          <t>Кресты (тюрьма)</t>
        </is>
      </c>
      <c r="B100" s="4" t="inlineStr">
        <is>
          <t>~10</t>
        </is>
      </c>
      <c r="C100" s="5" t="inlineStr">
        <is>
          <t>20176</t>
        </is>
      </c>
      <c r="D100" s="5" t="inlineStr">
        <is>
          <t>kresty</t>
        </is>
      </c>
    </row>
    <row r="101">
      <c r="A101" s="3" t="inlineStr">
        <is>
          <t>Константиновский дворец</t>
        </is>
      </c>
      <c r="B101" s="4" t="inlineStr">
        <is>
          <t>~10</t>
        </is>
      </c>
      <c r="C101" s="5" t="inlineStr">
        <is>
          <t>20573</t>
        </is>
      </c>
      <c r="D101" s="5" t="inlineStr">
        <is>
          <t>konstantinovskij-dvorec</t>
        </is>
      </c>
    </row>
    <row r="102">
      <c r="A102" s="3" t="inlineStr">
        <is>
          <t>Шуваловский парк</t>
        </is>
      </c>
      <c r="B102" s="4" t="inlineStr">
        <is>
          <t>~10</t>
        </is>
      </c>
      <c r="C102" s="5" t="inlineStr">
        <is>
          <t>40075</t>
        </is>
      </c>
      <c r="D102" s="5" t="inlineStr">
        <is>
          <t>shuvalovskij-park</t>
        </is>
      </c>
    </row>
    <row r="103">
      <c r="A103" s="3" t="inlineStr">
        <is>
          <t>Дворец Меншикова</t>
        </is>
      </c>
      <c r="B103" s="4" t="inlineStr">
        <is>
          <t>~15</t>
        </is>
      </c>
      <c r="C103" s="5" t="inlineStr">
        <is>
          <t>9015</t>
        </is>
      </c>
      <c r="D103" s="5" t="inlineStr">
        <is>
          <t>dvorec-menshikova</t>
        </is>
      </c>
    </row>
    <row r="104">
      <c r="A104" s="3" t="inlineStr">
        <is>
          <t>Таврический дворец</t>
        </is>
      </c>
      <c r="B104" s="4" t="inlineStr">
        <is>
          <t>~10</t>
        </is>
      </c>
      <c r="C104" s="5" t="inlineStr">
        <is>
          <t>20249</t>
        </is>
      </c>
      <c r="D104" s="5" t="inlineStr">
        <is>
          <t>tavricheskij-dvorec</t>
        </is>
      </c>
    </row>
    <row r="105">
      <c r="A105" s="3" t="inlineStr">
        <is>
          <t>Аптека Пеля</t>
        </is>
      </c>
      <c r="B105" s="4" t="inlineStr">
        <is>
          <t>~10</t>
        </is>
      </c>
      <c r="C105" s="5" t="inlineStr">
        <is>
          <t>37134</t>
        </is>
      </c>
      <c r="D105" s="5" t="inlineStr">
        <is>
          <t>apteka-pelya</t>
        </is>
      </c>
    </row>
    <row r="106">
      <c r="A106" s="3" t="inlineStr">
        <is>
          <t>Храм Вооружённых сил</t>
        </is>
      </c>
      <c r="B106" s="4" t="inlineStr">
        <is>
          <t>~10</t>
        </is>
      </c>
      <c r="C106" s="5" t="inlineStr">
        <is>
          <t>41013</t>
        </is>
      </c>
      <c r="D106" s="5" t="inlineStr">
        <is>
          <t>hram-vooruzhennyh-sil</t>
        </is>
      </c>
    </row>
    <row r="107">
      <c r="A107" s="3" t="inlineStr">
        <is>
          <t>Вагань ковское кладбище</t>
        </is>
      </c>
      <c r="B107" s="4" t="inlineStr">
        <is>
          <t>~10</t>
        </is>
      </c>
      <c r="C107" s="5" t="inlineStr">
        <is>
          <t>20766</t>
        </is>
      </c>
      <c r="D107" s="5" t="inlineStr">
        <is>
          <t>vagankovskoe-kladbishe</t>
        </is>
      </c>
    </row>
    <row r="108">
      <c r="A108" s="5" t="inlineStr"/>
    </row>
    <row r="109">
      <c r="A109" s="2">
        <f>== ПО ТИПУ/ФОРМАТУ ===</f>
        <v/>
      </c>
    </row>
    <row r="110">
      <c r="A110" s="3" t="inlineStr">
        <is>
          <t>Обзорные</t>
        </is>
      </c>
      <c r="B110" s="4" t="inlineStr">
        <is>
          <t>50</t>
        </is>
      </c>
      <c r="C110" s="5" t="inlineStr">
        <is>
          <t>147</t>
        </is>
      </c>
      <c r="D110" s="5" t="inlineStr">
        <is>
          <t>obzornyie</t>
        </is>
      </c>
    </row>
    <row r="111">
      <c r="A111" s="3" t="inlineStr">
        <is>
          <t>Мистические</t>
        </is>
      </c>
      <c r="B111" s="4" t="inlineStr">
        <is>
          <t>37</t>
        </is>
      </c>
      <c r="C111" s="5" t="inlineStr">
        <is>
          <t>8912</t>
        </is>
      </c>
      <c r="D111" s="5" t="inlineStr">
        <is>
          <t>misticheskie</t>
        </is>
      </c>
    </row>
    <row r="112">
      <c r="A112" s="3" t="inlineStr">
        <is>
          <t>Для детей</t>
        </is>
      </c>
      <c r="B112" s="4" t="inlineStr">
        <is>
          <t>166</t>
        </is>
      </c>
      <c r="C112" s="5" t="inlineStr">
        <is>
          <t>156</t>
        </is>
      </c>
      <c r="D112" s="5" t="inlineStr">
        <is>
          <t>dlya-detej</t>
        </is>
      </c>
    </row>
    <row r="113">
      <c r="A113" s="3" t="inlineStr">
        <is>
          <t>Квесты</t>
        </is>
      </c>
      <c r="B113" s="4" t="inlineStr">
        <is>
          <t>115</t>
        </is>
      </c>
      <c r="C113" s="5" t="inlineStr">
        <is>
          <t>7958</t>
        </is>
      </c>
      <c r="D113" s="5" t="inlineStr">
        <is>
          <t>kvesty</t>
        </is>
      </c>
    </row>
    <row r="114">
      <c r="A114" s="3" t="inlineStr">
        <is>
          <t>Гастрономические</t>
        </is>
      </c>
      <c r="B114" s="4" t="inlineStr">
        <is>
          <t>51</t>
        </is>
      </c>
      <c r="C114" s="5" t="inlineStr">
        <is>
          <t>424</t>
        </is>
      </c>
      <c r="D114" s="5" t="inlineStr">
        <is>
          <t>gastronomicheskie</t>
        </is>
      </c>
    </row>
    <row r="115">
      <c r="A115" s="3" t="inlineStr">
        <is>
          <t>Фотосессии</t>
        </is>
      </c>
      <c r="B115" s="4" t="inlineStr">
        <is>
          <t>42</t>
        </is>
      </c>
      <c r="C115" s="5" t="inlineStr">
        <is>
          <t>2760</t>
        </is>
      </c>
      <c r="D115" s="5" t="inlineStr">
        <is>
          <t>fotosessii</t>
        </is>
      </c>
    </row>
    <row r="116">
      <c r="A116" s="3" t="inlineStr">
        <is>
          <t>Мастер-классы</t>
        </is>
      </c>
      <c r="B116" s="4" t="inlineStr">
        <is>
          <t>24</t>
        </is>
      </c>
      <c r="C116" s="5" t="inlineStr">
        <is>
          <t>18502</t>
        </is>
      </c>
      <c r="D116" s="5" t="inlineStr">
        <is>
          <t>master-classi</t>
        </is>
      </c>
    </row>
    <row r="117">
      <c r="A117" s="3" t="inlineStr">
        <is>
          <t>Активный отдых</t>
        </is>
      </c>
      <c r="B117" s="4" t="inlineStr">
        <is>
          <t>21</t>
        </is>
      </c>
      <c r="C117" s="5" t="inlineStr">
        <is>
          <t>17824</t>
        </is>
      </c>
      <c r="D117" s="5" t="inlineStr">
        <is>
          <t>activniy-otdih</t>
        </is>
      </c>
    </row>
    <row r="118">
      <c r="A118" s="3" t="inlineStr">
        <is>
          <t>За городом</t>
        </is>
      </c>
      <c r="B118" s="4" t="inlineStr">
        <is>
          <t>108</t>
        </is>
      </c>
      <c r="C118" s="5" t="inlineStr">
        <is>
          <t>2758</t>
        </is>
      </c>
      <c r="D118" s="5" t="inlineStr">
        <is>
          <t>za-gorodom</t>
        </is>
      </c>
    </row>
    <row r="119">
      <c r="A119" s="3" t="inlineStr">
        <is>
          <t>Метро</t>
        </is>
      </c>
      <c r="B119" s="4" t="inlineStr">
        <is>
          <t>16</t>
        </is>
      </c>
      <c r="C119" s="5" t="inlineStr">
        <is>
          <t>7700</t>
        </is>
      </c>
      <c r="D119" s="5" t="inlineStr">
        <is>
          <t>metro</t>
        </is>
      </c>
    </row>
    <row r="120">
      <c r="A120" s="5" t="inlineStr"/>
    </row>
    <row r="121">
      <c r="A121" s="2">
        <f>== ПО ТЕМАМ ===</f>
        <v/>
      </c>
    </row>
    <row r="122">
      <c r="A122" s="3" t="inlineStr">
        <is>
          <t>Булгаков</t>
        </is>
      </c>
      <c r="B122" s="4" t="inlineStr">
        <is>
          <t>31</t>
        </is>
      </c>
      <c r="C122" s="5" t="inlineStr">
        <is>
          <t>8910</t>
        </is>
      </c>
      <c r="D122" s="5" t="inlineStr">
        <is>
          <t>bulgakov</t>
        </is>
      </c>
    </row>
    <row r="123">
      <c r="A123" s="3" t="inlineStr">
        <is>
          <t>Сбежать из центра</t>
        </is>
      </c>
      <c r="B123" s="4" t="inlineStr">
        <is>
          <t>22</t>
        </is>
      </c>
      <c r="C123" s="5" t="inlineStr">
        <is>
          <t>129403</t>
        </is>
      </c>
      <c r="D123" s="5" t="inlineStr">
        <is>
          <t>sbezhat-iz-centra</t>
        </is>
      </c>
    </row>
    <row r="124">
      <c r="A124" s="3" t="inlineStr">
        <is>
          <t>Парк Патриот</t>
        </is>
      </c>
      <c r="B124" s="4" t="inlineStr">
        <is>
          <t>5</t>
        </is>
      </c>
      <c r="C124" s="5" t="inlineStr">
        <is>
          <t>20231</t>
        </is>
      </c>
      <c r="D124" s="5" t="inlineStr">
        <is>
          <t>park-patriot</t>
        </is>
      </c>
    </row>
    <row r="125">
      <c r="A125" s="3" t="inlineStr">
        <is>
          <t>Шоколадная фабрика</t>
        </is>
      </c>
      <c r="B125" s="4" t="inlineStr">
        <is>
          <t>7</t>
        </is>
      </c>
      <c r="C125" s="5" t="inlineStr">
        <is>
          <t>20223</t>
        </is>
      </c>
      <c r="D125" s="5" t="inlineStr">
        <is>
          <t>shokoladnaya-fabrika</t>
        </is>
      </c>
    </row>
    <row r="126">
      <c r="A126" s="3" t="inlineStr">
        <is>
          <t>Иваново</t>
        </is>
      </c>
      <c r="B126" s="4" t="inlineStr">
        <is>
          <t>9</t>
        </is>
      </c>
      <c r="C126" s="5" t="inlineStr">
        <is>
          <t>36856</t>
        </is>
      </c>
      <c r="D126" s="5" t="inlineStr">
        <is>
          <t>ivanovo</t>
        </is>
      </c>
    </row>
    <row r="127">
      <c r="A127" s="5" t="inlineStr"/>
    </row>
    <row r="128">
      <c r="A128" s="2">
        <f>== СПЕЦКОЛЛЕКЦИИ ===</f>
        <v/>
      </c>
    </row>
    <row r="129">
      <c r="A129" s="3" t="inlineStr">
        <is>
          <t>В Москве осень</t>
        </is>
      </c>
      <c r="B129" s="4" t="inlineStr">
        <is>
          <t>~150</t>
        </is>
      </c>
      <c r="C129" s="5" t="inlineStr">
        <is>
          <t>143401</t>
        </is>
      </c>
      <c r="D129" s="5" t="inlineStr">
        <is>
          <t>v-moskve-osen</t>
        </is>
      </c>
    </row>
  </sheetData>
  <mergeCells count="11">
    <mergeCell ref="A37:D37"/>
    <mergeCell ref="A8:D8"/>
    <mergeCell ref="A26:D26"/>
    <mergeCell ref="A109:D109"/>
    <mergeCell ref="A59:D59"/>
    <mergeCell ref="A65:D65"/>
    <mergeCell ref="A82:D82"/>
    <mergeCell ref="A128:D128"/>
    <mergeCell ref="A2:D2"/>
    <mergeCell ref="A121:D121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АРХИТЕКТУРА TRIPSTER.RU</t>
        </is>
      </c>
    </row>
    <row r="2">
      <c r="A2" s="5" t="inlineStr"/>
    </row>
    <row r="3">
      <c r="A3" s="6" t="inlineStr">
        <is>
          <t>УРОВЕНЬ 1: ГЛАВНАЯ</t>
        </is>
      </c>
    </row>
    <row r="4">
      <c r="A4" s="5" t="inlineStr">
        <is>
          <t xml:space="preserve">  - Поиск по городам</t>
        </is>
      </c>
    </row>
    <row r="5">
      <c r="A5" s="5" t="inlineStr">
        <is>
          <t xml:space="preserve">  - Популярные направления (Топ-9 городов)</t>
        </is>
      </c>
    </row>
    <row r="6">
      <c r="A6" s="5" t="inlineStr">
        <is>
          <t xml:space="preserve">  - Многодневные туры</t>
        </is>
      </c>
    </row>
    <row r="7">
      <c r="A7" s="5" t="inlineStr">
        <is>
          <t xml:space="preserve">  - URL: https://experience.tripster.ru/</t>
        </is>
      </c>
    </row>
    <row r="8">
      <c r="A8" s="5" t="inlineStr"/>
    </row>
    <row r="9">
      <c r="A9" s="6" t="inlineStr">
        <is>
          <t>УРОВЕНЬ 2: КОНТИНЕНТЫ/РЕГИОНЫ</t>
        </is>
      </c>
    </row>
    <row r="10">
      <c r="A10" s="5" t="inlineStr">
        <is>
          <t xml:space="preserve">  - 7 континентов: Россия и СНГ, Европа, Азия, Америка, Африка, Австралия, Антарктида</t>
        </is>
      </c>
    </row>
    <row r="11">
      <c r="A11" s="5" t="inlineStr">
        <is>
          <t xml:space="preserve">  - URL: /destinations/</t>
        </is>
      </c>
    </row>
    <row r="12">
      <c r="A12" s="5" t="inlineStr">
        <is>
          <t xml:space="preserve">  - URL страны: /destinations/russia</t>
        </is>
      </c>
    </row>
    <row r="13">
      <c r="A13" s="5" t="inlineStr"/>
    </row>
    <row r="14">
      <c r="A14" s="6" t="inlineStr">
        <is>
          <t>УРОВЕНЬ 3: ГОРОДА</t>
        </is>
      </c>
    </row>
    <row r="15">
      <c r="A15" s="5" t="inlineStr">
        <is>
          <t xml:space="preserve">  - 919 городов в 116 странах</t>
        </is>
      </c>
    </row>
    <row r="16">
      <c r="A16" s="5" t="inlineStr">
        <is>
          <t xml:space="preserve">  - URL: /experience/ГОРОД/</t>
        </is>
      </c>
    </row>
    <row r="17">
      <c r="A17" s="5" t="inlineStr">
        <is>
          <t xml:space="preserve">  - Примеры: /experience/Saint_Petersburg/, /experience/Moscow/</t>
        </is>
      </c>
    </row>
    <row r="18">
      <c r="A18" s="5" t="inlineStr"/>
    </row>
    <row r="19">
      <c r="A19" s="6" t="inlineStr">
        <is>
          <t>УРОВЕНЬ 4: РУБРИКИ</t>
        </is>
      </c>
    </row>
    <row r="20">
      <c r="A20" s="5" t="inlineStr">
        <is>
          <t xml:space="preserve">  - 30-100+ рубрик на каждый крупный город</t>
        </is>
      </c>
    </row>
    <row r="21">
      <c r="A21" s="5" t="inlineStr">
        <is>
          <t xml:space="preserve">  - URL: /experience/ГОРОД/ID-slug/</t>
        </is>
      </c>
    </row>
    <row r="22">
      <c r="A22" s="5" t="inlineStr">
        <is>
          <t xml:space="preserve">  - Примеры: /experience/Moscow/435-kreml/, /experience/Saint_Petersburg/8924-ermitazh/</t>
        </is>
      </c>
    </row>
    <row r="23">
      <c r="A23" s="5" t="inlineStr"/>
    </row>
    <row r="24">
      <c r="A24" s="6" t="inlineStr">
        <is>
          <t>ТИПЫ РУБРИК:</t>
        </is>
      </c>
    </row>
    <row r="25">
      <c r="A25" s="5" t="inlineStr">
        <is>
          <t xml:space="preserve">  1. СПЕЦИАЛЬНЫЕ:</t>
        </is>
      </c>
    </row>
    <row r="26">
      <c r="A26" s="5" t="inlineStr">
        <is>
          <t xml:space="preserve">     - Все экскурсии города</t>
        </is>
      </c>
    </row>
    <row r="27">
      <c r="A27" s="5" t="inlineStr">
        <is>
          <t xml:space="preserve">     - Со скидкой</t>
        </is>
      </c>
    </row>
    <row r="28">
      <c r="A28" s="5" t="inlineStr">
        <is>
          <t xml:space="preserve">     - Новые</t>
        </is>
      </c>
    </row>
    <row r="29">
      <c r="A29" s="5" t="inlineStr">
        <is>
          <t xml:space="preserve">     - Лучшие</t>
        </is>
      </c>
    </row>
    <row r="30">
      <c r="A30" s="5" t="inlineStr">
        <is>
          <t xml:space="preserve">     - Необычные маршруты</t>
        </is>
      </c>
    </row>
    <row r="31">
      <c r="A31" s="5" t="inlineStr"/>
    </row>
    <row r="32">
      <c r="A32" s="5" t="inlineStr">
        <is>
          <t xml:space="preserve">  2. ПО ОБЪЕКТАМ/ДОСТОПРИМЕЧАТЕЛЬНОСТЯМ:</t>
        </is>
      </c>
    </row>
    <row r="33">
      <c r="A33" s="5" t="inlineStr">
        <is>
          <t xml:space="preserve">     - Эрмитаж, Кремль, Красная площадь</t>
        </is>
      </c>
    </row>
    <row r="34">
      <c r="A34" s="5" t="inlineStr">
        <is>
          <t xml:space="preserve">     - Дворцы (Екатерининский, Зимний, Юсуповский...)</t>
        </is>
      </c>
    </row>
    <row r="35">
      <c r="A35" s="5" t="inlineStr">
        <is>
          <t xml:space="preserve">     - Храмы (Спас на Крови, Исаакиевский собор...)</t>
        </is>
      </c>
    </row>
    <row r="36">
      <c r="A36" s="5" t="inlineStr">
        <is>
          <t xml:space="preserve">     - Музеи (Русский музей, Третьяковка...)</t>
        </is>
      </c>
    </row>
    <row r="37">
      <c r="A37" s="5" t="inlineStr">
        <is>
          <t xml:space="preserve">     - Памятники (Медный всадник, Атланты...)</t>
        </is>
      </c>
    </row>
    <row r="38">
      <c r="A38" s="5" t="inlineStr">
        <is>
          <t xml:space="preserve">     - Улицы (Невский, Арбат...)</t>
        </is>
      </c>
    </row>
    <row r="39">
      <c r="A39" s="5" t="inlineStr">
        <is>
          <t xml:space="preserve">     - Площади (Дворцовая, Красная...)</t>
        </is>
      </c>
    </row>
    <row r="40">
      <c r="A40" s="5" t="inlineStr"/>
    </row>
    <row r="41">
      <c r="A41" s="5" t="inlineStr">
        <is>
          <t xml:space="preserve">  3. ПО ПРИГОРОДАМ:</t>
        </is>
      </c>
    </row>
    <row r="42">
      <c r="A42" s="5" t="inlineStr">
        <is>
          <t xml:space="preserve">     - Царское Село, Петергоф, Кронштадт</t>
        </is>
      </c>
    </row>
    <row r="43">
      <c r="A43" s="5" t="inlineStr">
        <is>
          <t xml:space="preserve">     - Рускеала, Кижи, Ладожское озеро</t>
        </is>
      </c>
    </row>
    <row r="44">
      <c r="A44" s="5" t="inlineStr">
        <is>
          <t xml:space="preserve">     - Владимир, Ярославль, Суздаль</t>
        </is>
      </c>
    </row>
    <row r="45">
      <c r="A45" s="5" t="inlineStr"/>
    </row>
    <row r="46">
      <c r="A46" s="5" t="inlineStr">
        <is>
          <t xml:space="preserve">  4. ПО ФОРМАТУ:</t>
        </is>
      </c>
    </row>
    <row r="47">
      <c r="A47" s="5" t="inlineStr">
        <is>
          <t xml:space="preserve">     - Обзорные</t>
        </is>
      </c>
    </row>
    <row r="48">
      <c r="A48" s="5" t="inlineStr">
        <is>
          <t xml:space="preserve">     - Городские экскурсии</t>
        </is>
      </c>
    </row>
    <row r="49">
      <c r="A49" s="5" t="inlineStr">
        <is>
          <t xml:space="preserve">     - Авторские</t>
        </is>
      </c>
    </row>
    <row r="50">
      <c r="A50" s="5" t="inlineStr">
        <is>
          <t xml:space="preserve">     - Для детей</t>
        </is>
      </c>
    </row>
    <row r="51">
      <c r="A51" s="5" t="inlineStr">
        <is>
          <t xml:space="preserve">     - Гастрономические</t>
        </is>
      </c>
    </row>
    <row r="52">
      <c r="A52" s="5" t="inlineStr">
        <is>
          <t xml:space="preserve">     - По барам</t>
        </is>
      </c>
    </row>
    <row r="53">
      <c r="A53" s="5" t="inlineStr">
        <is>
          <t xml:space="preserve">     - Квесты</t>
        </is>
      </c>
    </row>
    <row r="54">
      <c r="A54" s="5" t="inlineStr">
        <is>
          <t xml:space="preserve">     - Фотосессии</t>
        </is>
      </c>
    </row>
    <row r="55">
      <c r="A55" s="5" t="inlineStr">
        <is>
          <t xml:space="preserve">     - Мастер-классы</t>
        </is>
      </c>
    </row>
    <row r="56">
      <c r="A56" s="5" t="inlineStr">
        <is>
          <t xml:space="preserve">     - Мистические</t>
        </is>
      </c>
    </row>
    <row r="57">
      <c r="A57" s="5" t="inlineStr">
        <is>
          <t xml:space="preserve">     - Активный отдых</t>
        </is>
      </c>
    </row>
    <row r="58">
      <c r="A58" s="5" t="inlineStr">
        <is>
          <t xml:space="preserve">     - Трансферы</t>
        </is>
      </c>
    </row>
    <row r="59">
      <c r="A59" s="5" t="inlineStr"/>
    </row>
    <row r="60">
      <c r="A60" s="5" t="inlineStr">
        <is>
          <t xml:space="preserve">  5. ПО ТЕМАМ:</t>
        </is>
      </c>
    </row>
    <row r="61">
      <c r="A61" s="5" t="inlineStr">
        <is>
          <t xml:space="preserve">     - Булгаков, Достоевский, Пушкин</t>
        </is>
      </c>
    </row>
    <row r="62">
      <c r="A62" s="5" t="inlineStr">
        <is>
          <t xml:space="preserve">     - Персоны города</t>
        </is>
      </c>
    </row>
    <row r="63">
      <c r="A63" s="5" t="inlineStr">
        <is>
          <t xml:space="preserve">     - Дворы и парадные</t>
        </is>
      </c>
    </row>
    <row r="64">
      <c r="A64" s="5" t="inlineStr">
        <is>
          <t xml:space="preserve">     - Разводные мосты (для СПб)</t>
        </is>
      </c>
    </row>
    <row r="65">
      <c r="A65" s="5" t="inlineStr"/>
    </row>
    <row r="66">
      <c r="A66" s="5" t="inlineStr">
        <is>
          <t xml:space="preserve">  6. СЕЗОННЫЕ КОЛЛЕКЦИИ:</t>
        </is>
      </c>
    </row>
    <row r="67">
      <c r="A67" s="5" t="inlineStr">
        <is>
          <t xml:space="preserve">     - Осень в Петербурге</t>
        </is>
      </c>
    </row>
    <row r="68">
      <c r="A68" s="5" t="inlineStr">
        <is>
          <t xml:space="preserve">     - В Москве осень</t>
        </is>
      </c>
    </row>
    <row r="69">
      <c r="A69" s="5" t="inlineStr">
        <is>
          <t xml:space="preserve">     - Зима в городе</t>
        </is>
      </c>
    </row>
    <row r="70">
      <c r="A70" s="5" t="inlineStr"/>
    </row>
    <row r="71">
      <c r="A71" s="6" t="inlineStr">
        <is>
          <t>УРОВЕНЬ 5: ЭКСКУРСИЯ</t>
        </is>
      </c>
    </row>
    <row r="72">
      <c r="A72" s="5" t="inlineStr">
        <is>
          <t xml:space="preserve">  - Страница конкретной экскурсии</t>
        </is>
      </c>
    </row>
    <row r="73">
      <c r="A73" s="5" t="inlineStr">
        <is>
          <t xml:space="preserve">  - URL: /experience/ID/</t>
        </is>
      </c>
    </row>
    <row r="74">
      <c r="A74" s="5" t="inlineStr">
        <is>
          <t xml:space="preserve">  - Пример: /experience/42934/</t>
        </is>
      </c>
    </row>
    <row r="75">
      <c r="A75" s="5" t="inlineStr"/>
    </row>
    <row r="76">
      <c r="A76" s="6" t="inlineStr">
        <is>
          <t>УРОВЕНЬ 6: ГИД</t>
        </is>
      </c>
    </row>
    <row r="77">
      <c r="A77" s="5" t="inlineStr">
        <is>
          <t xml:space="preserve">  - Профиль гида, все его экскурсии</t>
        </is>
      </c>
    </row>
    <row r="78">
      <c r="A78" s="5" t="inlineStr">
        <is>
          <t xml:space="preserve">  - URL: /guide/ID/</t>
        </is>
      </c>
    </row>
    <row r="79">
      <c r="A79" s="5" t="inlineStr">
        <is>
          <t xml:space="preserve">  - Пример: /guide/373946/</t>
        </is>
      </c>
    </row>
    <row r="80">
      <c r="A80" s="5" t="inlineStr"/>
    </row>
    <row r="81">
      <c r="A81" s="6" t="inlineStr">
        <is>
          <t>ДОПОЛНИТЕЛЬНО:</t>
        </is>
      </c>
    </row>
    <row r="82">
      <c r="A82" s="5" t="inlineStr">
        <is>
          <t xml:space="preserve">  - Многодневные туры: /tours/страна/регион/</t>
        </is>
      </c>
    </row>
    <row r="83">
      <c r="A83" s="5" t="inlineStr">
        <is>
          <t xml:space="preserve">  - Избранное: /favorites/</t>
        </is>
      </c>
    </row>
    <row r="84">
      <c r="A84" s="5" t="inlineStr"/>
    </row>
    <row r="85">
      <c r="A85" s="6" t="inlineStr">
        <is>
          <t>ФИЛЬТРЫ (НА СТРАНИЦЕ ГОРОДА):</t>
        </is>
      </c>
    </row>
    <row r="86">
      <c r="A86" s="5" t="inlineStr">
        <is>
          <t xml:space="preserve">  1. Любые даты, X чел. - дата + количество</t>
        </is>
      </c>
    </row>
    <row r="87">
      <c r="A87" s="5" t="inlineStr">
        <is>
          <t xml:space="preserve">  2. Формат проведения - Индивидуальная/Групповая/Мини-группа</t>
        </is>
      </c>
    </row>
    <row r="88">
      <c r="A88" s="5" t="inlineStr">
        <is>
          <t xml:space="preserve">  3. Способ передвижения - Пешком/На авто/На автобусе/На велосипеде/На лодке/В помещении</t>
        </is>
      </c>
    </row>
    <row r="89">
      <c r="A89" s="5" t="inlineStr">
        <is>
          <t xml:space="preserve">  4. Цена - диапазон цен</t>
        </is>
      </c>
    </row>
    <row r="90">
      <c r="A90" s="5" t="inlineStr">
        <is>
          <t xml:space="preserve">  + Дополнительные фильтры (кнопка Фильтры)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s="7" t="inlineStr">
        <is>
          <t>ГЕОГРАФИЯ</t>
        </is>
      </c>
      <c r="B2" s="5" t="inlineStr"/>
    </row>
    <row r="3">
      <c r="A3" s="8" t="inlineStr">
        <is>
          <t>Всего городов</t>
        </is>
      </c>
      <c r="B3" s="5" t="inlineStr">
        <is>
          <t>919</t>
        </is>
      </c>
    </row>
    <row r="4">
      <c r="A4" s="8" t="inlineStr">
        <is>
          <t>Всего стран</t>
        </is>
      </c>
      <c r="B4" s="5" t="inlineStr">
        <is>
          <t>116</t>
        </is>
      </c>
    </row>
    <row r="5">
      <c r="A5" s="8" t="inlineStr">
        <is>
          <t>Континентов/регионов</t>
        </is>
      </c>
      <c r="B5" s="5" t="inlineStr">
        <is>
          <t>7</t>
        </is>
      </c>
    </row>
    <row r="6">
      <c r="A6" s="5" t="inlineStr"/>
      <c r="B6" s="5" t="inlineStr"/>
    </row>
    <row r="7">
      <c r="A7" s="7" t="inlineStr">
        <is>
          <t>ТОП ГОРОДА</t>
        </is>
      </c>
      <c r="B7" s="5" t="inlineStr"/>
    </row>
    <row r="8">
      <c r="A8" s="8" t="inlineStr">
        <is>
          <t>Санкт-Петербург</t>
        </is>
      </c>
      <c r="B8" s="5" t="inlineStr">
        <is>
          <t>1994 экскурсии</t>
        </is>
      </c>
    </row>
    <row r="9">
      <c r="A9" s="8" t="inlineStr">
        <is>
          <t>Москва</t>
        </is>
      </c>
      <c r="B9" s="5" t="inlineStr">
        <is>
          <t>1306 экскурсий</t>
        </is>
      </c>
    </row>
    <row r="10">
      <c r="A10" s="8" t="inlineStr">
        <is>
          <t>Калининград</t>
        </is>
      </c>
      <c r="B10" s="5" t="inlineStr">
        <is>
          <t>626 экскурсий</t>
        </is>
      </c>
    </row>
    <row r="11">
      <c r="A11" s="8" t="inlineStr">
        <is>
          <t>Стамбул (Турция)</t>
        </is>
      </c>
      <c r="B11" s="5" t="inlineStr">
        <is>
          <t>527 экскурсий</t>
        </is>
      </c>
    </row>
    <row r="12">
      <c r="A12" s="8" t="inlineStr">
        <is>
          <t>Тбилиси (Грузия)</t>
        </is>
      </c>
      <c r="B12" s="5" t="inlineStr">
        <is>
          <t>493 экскурсии</t>
        </is>
      </c>
    </row>
    <row r="13">
      <c r="A13" s="8" t="inlineStr">
        <is>
          <t>Казань</t>
        </is>
      </c>
      <c r="B13" s="5" t="inlineStr">
        <is>
          <t>407 экскурсий</t>
        </is>
      </c>
    </row>
    <row r="14">
      <c r="A14" s="8" t="inlineStr">
        <is>
          <t>Минск (Беларусь)</t>
        </is>
      </c>
      <c r="B14" s="5" t="inlineStr">
        <is>
          <t>337 экскурсий</t>
        </is>
      </c>
    </row>
    <row r="15">
      <c r="A15" s="5" t="inlineStr"/>
      <c r="B15" s="5" t="inlineStr"/>
    </row>
    <row r="16">
      <c r="A16" s="7" t="inlineStr">
        <is>
          <t>РУБРИКИ</t>
        </is>
      </c>
      <c r="B16" s="5" t="inlineStr"/>
    </row>
    <row r="17">
      <c r="A17" s="8" t="inlineStr">
        <is>
          <t>Рубрик в СПб</t>
        </is>
      </c>
      <c r="B17" s="5" t="inlineStr">
        <is>
          <t>~100+ (30 видимых + много скрытых)</t>
        </is>
      </c>
    </row>
    <row r="18">
      <c r="A18" s="8" t="inlineStr">
        <is>
          <t>Рубрик в Москве</t>
        </is>
      </c>
      <c r="B18" s="5" t="inlineStr">
        <is>
          <t>~80+ (30 видимых + много скрытых)</t>
        </is>
      </c>
    </row>
    <row r="19">
      <c r="A19" s="8" t="inlineStr">
        <is>
          <t>Типов рубрик</t>
        </is>
      </c>
      <c r="B19" s="5" t="inlineStr">
        <is>
          <t>6 (Специальные, По объектам, По пригородам, По формату, По темам, Спецколлекции)</t>
        </is>
      </c>
    </row>
    <row r="20">
      <c r="A20" s="5" t="inlineStr"/>
      <c r="B20" s="5" t="inlineStr"/>
    </row>
    <row r="21">
      <c r="A21" s="7" t="inlineStr">
        <is>
          <t>URL-ПАТТЕРНЫ</t>
        </is>
      </c>
      <c r="B21" s="5" t="inlineStr"/>
    </row>
    <row r="22">
      <c r="A22" s="8" t="inlineStr">
        <is>
          <t>Типов URL</t>
        </is>
      </c>
      <c r="B22" s="5" t="inlineStr">
        <is>
          <t>8 (главная, destinations, город, рубрика, экскурсия, гид, туры, избранное)</t>
        </is>
      </c>
    </row>
    <row r="23">
      <c r="A23" s="8" t="inlineStr">
        <is>
          <t>ID рубрик</t>
        </is>
      </c>
      <c r="B23" s="5" t="inlineStr">
        <is>
          <t>Каждая рубрика имеет уникальный ID (например, 8924-ermitazh)</t>
        </is>
      </c>
    </row>
    <row r="24">
      <c r="A24" s="5" t="inlineStr"/>
      <c r="B24" s="5" t="inlineStr"/>
    </row>
    <row r="25">
      <c r="A25" s="7" t="inlineStr">
        <is>
          <t>ФИЛЬТРЫ</t>
        </is>
      </c>
      <c r="B25" s="5" t="inlineStr"/>
    </row>
    <row r="26">
      <c r="A26" s="8" t="inlineStr">
        <is>
          <t>Основных фильтров</t>
        </is>
      </c>
      <c r="B26" s="5" t="inlineStr">
        <is>
          <t>4 (даты/количество, формат, транспорт, цена)</t>
        </is>
      </c>
    </row>
    <row r="27">
      <c r="A27" s="8" t="inlineStr">
        <is>
          <t>Форматов проведения</t>
        </is>
      </c>
      <c r="B27" s="5" t="inlineStr">
        <is>
          <t>3 (Индивидуальная, Групповая, Мини-группа)</t>
        </is>
      </c>
    </row>
    <row r="28">
      <c r="A28" s="8" t="inlineStr">
        <is>
          <t>Способов передвижения</t>
        </is>
      </c>
      <c r="B28" s="5" t="inlineStr">
        <is>
          <t>8+ (Пешком, На авто, На автобусе, На велосипеде, На лодке, На метро, Смешанный, В помещении)</t>
        </is>
      </c>
    </row>
    <row r="29">
      <c r="A29" s="5" t="inlineStr"/>
      <c r="B29" s="5" t="inlineStr"/>
    </row>
    <row r="30">
      <c r="A30" s="7" t="inlineStr">
        <is>
          <t>КОНТЕНТ</t>
        </is>
      </c>
      <c r="B30" s="5" t="inlineStr"/>
    </row>
    <row r="31">
      <c r="A31" s="8" t="inlineStr">
        <is>
          <t>Рейтинг гидов</t>
        </is>
      </c>
      <c r="B31" s="5" t="inlineStr">
        <is>
          <t>От 1 до 5 звезд (с точностью до сотых)</t>
        </is>
      </c>
    </row>
    <row r="32">
      <c r="A32" s="8" t="inlineStr">
        <is>
          <t>Отзывы</t>
        </is>
      </c>
      <c r="B32" s="5" t="inlineStr">
        <is>
          <t>Показываются на каждой экскурсии</t>
        </is>
      </c>
    </row>
    <row r="33">
      <c r="A33" s="8" t="inlineStr">
        <is>
          <t>Цены</t>
        </is>
      </c>
      <c r="B33" s="5" t="inlineStr">
        <is>
          <t>От 250 руб. до 100,000+ руб.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2025-11-10T10:16:30Z</dcterms:created>
  <dcterms:modified xmlns:dcterms="http://purl.org/dc/terms/" xmlns:xsi="http://www.w3.org/2001/XMLSchema-instance" xsi:type="dcterms:W3CDTF">2025-11-10T10:16:31Z</dcterms:modified>
</cp:coreProperties>
</file>